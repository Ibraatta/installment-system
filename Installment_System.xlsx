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 المحفظة" sheetId="1" state="visible" r:id="rId1"/>
    <sheet xmlns:r="http://schemas.openxmlformats.org/officeDocument/2006/relationships" name="العملاء" sheetId="2" state="visible" r:id="rId2"/>
    <sheet xmlns:r="http://schemas.openxmlformats.org/officeDocument/2006/relationships" name="العقود" sheetId="3" state="visible" r:id="rId3"/>
    <sheet xmlns:r="http://schemas.openxmlformats.org/officeDocument/2006/relationships" name="الأقساط" sheetId="4" state="visible" r:id="rId4"/>
    <sheet xmlns:r="http://schemas.openxmlformats.org/officeDocument/2006/relationships" name="الحركات المالية" sheetId="5" state="visible" r:id="rId5"/>
    <sheet xmlns:r="http://schemas.openxmlformats.org/officeDocument/2006/relationships" name="توزيع التحصيل" sheetId="6" state="visible" r:id="rId6"/>
    <sheet xmlns:r="http://schemas.openxmlformats.org/officeDocument/2006/relationships" name="متابعة العملاء" sheetId="7" state="visible" r:id="rId7"/>
    <sheet xmlns:r="http://schemas.openxmlformats.org/officeDocument/2006/relationships" name="الإعدادات" sheetId="8" state="visible" r:id="rId8"/>
    <sheet xmlns:r="http://schemas.openxmlformats.org/officeDocument/2006/relationships" name="سجل التغييرات" sheetId="9" state="visible" r:id="rId9"/>
  </sheets>
  <definedNames>
    <definedName name="_xlnm._FilterDatabase" localSheetId="0" hidden="1">'ملخص المحفظة'!$A$1:$B$13</definedName>
    <definedName name="_xlnm._FilterDatabase" localSheetId="1" hidden="1">'العملاء'!$A$1:$T$2</definedName>
    <definedName name="_xlnm._FilterDatabase" localSheetId="2" hidden="1">'العقود'!$A$1:$V$2</definedName>
    <definedName name="_xlnm._FilterDatabase" localSheetId="3" hidden="1">'الأقساط'!$A$1:$K$17</definedName>
    <definedName name="_xlnm._FilterDatabase" localSheetId="4" hidden="1">'الحركات المالية'!$A$1:$N$5</definedName>
    <definedName name="_xlnm._FilterDatabase" localSheetId="7" hidden="1">'الإعدادات'!$A$1:$C$9</definedName>
    <definedName name="_xlnm._FilterDatabase" localSheetId="8" hidden="1">'سجل التغييرات'!$A$1:$E$6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;(#,##0.00);&quot;—&quot;"/>
    <numFmt numFmtId="165" formatCode="yyyy-mm-dd"/>
    <numFmt numFmtId="166" formatCode="0.0%"/>
  </numFmts>
  <fonts count="7">
    <font>
      <name val="Calibri"/>
      <family val="2"/>
      <color theme="1"/>
      <sz val="11"/>
      <scheme val="minor"/>
    </font>
    <font>
      <name val="Arial"/>
      <color rgb="00112F39"/>
      <sz val="11"/>
    </font>
    <font>
      <name val="Arial"/>
      <color rgb="0013795B"/>
      <sz val="11"/>
    </font>
    <font>
      <name val="Arial"/>
      <b val="1"/>
      <color rgb="00FFFFFF"/>
      <sz val="11"/>
    </font>
    <font>
      <name val="Arial"/>
      <color rgb="002358A5"/>
      <sz val="11"/>
    </font>
    <font>
      <name val="Arial"/>
      <b val="1"/>
      <color rgb="00153945"/>
      <sz val="17"/>
    </font>
    <font>
      <name val="Arial"/>
      <b val="1"/>
      <color rgb="00153945"/>
      <sz val="11"/>
    </font>
  </fonts>
  <fills count="4">
    <fill>
      <patternFill/>
    </fill>
    <fill>
      <patternFill patternType="gray125"/>
    </fill>
    <fill>
      <patternFill patternType="solid">
        <fgColor rgb="0020343E"/>
      </patternFill>
    </fill>
    <fill>
      <patternFill patternType="solid">
        <fgColor rgb="00E2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5" fillId="0" borderId="0" applyAlignment="1" pivotButton="0" quotePrefix="0" xfId="0">
      <alignment horizontal="right" vertical="center" readingOrder="2"/>
    </xf>
    <xf numFmtId="0" fontId="3" fillId="0" borderId="0" applyAlignment="1" pivotButton="0" quotePrefix="0" xfId="0">
      <alignment horizontal="right" vertical="center" readingOrder="2"/>
    </xf>
    <xf numFmtId="0" fontId="6" fillId="3" borderId="0" applyAlignment="1" pivotButton="0" quotePrefix="0" xfId="0">
      <alignment horizontal="right" vertical="center" readingOrder="2"/>
    </xf>
    <xf numFmtId="0" fontId="1" fillId="0" borderId="0" applyAlignment="1" pivotButton="0" quotePrefix="0" xfId="0">
      <alignment horizontal="right" vertical="center" readingOrder="2"/>
    </xf>
    <xf numFmtId="164" fontId="2" fillId="0" borderId="0" applyAlignment="1" pivotButton="0" quotePrefix="0" xfId="0">
      <alignment horizontal="right" vertical="center" readingOrder="2"/>
    </xf>
    <xf numFmtId="1" fontId="2" fillId="0" borderId="0" applyAlignment="1" pivotButton="0" quotePrefix="0" xfId="0">
      <alignment horizontal="right" vertical="center" readingOrder="2"/>
    </xf>
    <xf numFmtId="0" fontId="3" fillId="2" borderId="0" applyAlignment="1" pivotButton="0" quotePrefix="0" xfId="0">
      <alignment horizontal="right" vertical="center" readingOrder="2"/>
    </xf>
    <xf numFmtId="165" fontId="1" fillId="0" borderId="0" applyAlignment="1" pivotButton="0" quotePrefix="0" xfId="0">
      <alignment horizontal="right" vertical="center" readingOrder="2"/>
    </xf>
    <xf numFmtId="164" fontId="4" fillId="0" borderId="0" applyAlignment="1" pivotButton="0" quotePrefix="0" xfId="0">
      <alignment horizontal="right" vertical="center" readingOrder="2"/>
    </xf>
    <xf numFmtId="0" fontId="2" fillId="0" borderId="0" applyAlignment="1" pivotButton="0" quotePrefix="0" xfId="0">
      <alignment horizontal="right" vertical="center" readingOrder="2"/>
    </xf>
    <xf numFmtId="1" fontId="4" fillId="0" borderId="0" applyAlignment="1" pivotButton="0" quotePrefix="0" xfId="0">
      <alignment horizontal="right" vertical="center" wrapText="1" readingOrder="2"/>
    </xf>
    <xf numFmtId="0" fontId="1" fillId="0" borderId="0" applyAlignment="1" pivotButton="0" quotePrefix="0" xfId="0">
      <alignment horizontal="right" vertical="center" wrapText="1" readingOrder="2"/>
    </xf>
    <xf numFmtId="166" fontId="4" fillId="0" borderId="0" applyAlignment="1" pivotButton="0" quotePrefix="0" xfId="0">
      <alignment horizontal="right" vertical="center" wrapText="1" readingOrder="2"/>
    </xf>
    <xf numFmtId="164" fontId="2" fillId="0" borderId="0" applyAlignment="1" pivotButton="0" quotePrefix="0" xfId="0">
      <alignment horizontal="right" vertical="center" readingOrder="2"/>
    </xf>
    <xf numFmtId="165" fontId="1" fillId="0" borderId="0" applyAlignment="1" pivotButton="0" quotePrefix="0" xfId="0">
      <alignment horizontal="right" vertical="center" readingOrder="2"/>
    </xf>
    <xf numFmtId="164" fontId="4" fillId="0" borderId="0" applyAlignment="1" pivotButton="0" quotePrefix="0" xfId="0">
      <alignment horizontal="righ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able1" displayName="Table1" ref="A1:T2" headerRowCount="1">
  <autoFilter ref="A1:T2"/>
  <tableColumns count="20">
    <tableColumn id="1" name="رقم العميل"/>
    <tableColumn id="2" name="اسم العميل"/>
    <tableColumn id="3" name="رقم الهوية"/>
    <tableColumn id="4" name="رقم الجوال"/>
    <tableColumn id="5" name="تاريخ إضافة العميل"/>
    <tableColumn id="6" name="حالة العميل"/>
    <tableColumn id="7" name="التصنيف الائتماني"/>
    <tableColumn id="8" name="الحد الائتماني"/>
    <tableColumn id="9" name="العنوان"/>
    <tableColumn id="10" name="جهة العمل"/>
    <tableColumn id="11" name="الدخل الشهري"/>
    <tableColumn id="12" name="اسم الكفيل"/>
    <tableColumn id="13" name="جوال الكفيل"/>
    <tableColumn id="14" name="ملاحظات"/>
    <tableColumn id="15" name="إجمالي التمويل"/>
    <tableColumn id="16" name="إجمالي المتبقي"/>
    <tableColumn id="17" name="المتبقي من التمويل"/>
    <tableColumn id="18" name="عدد مرات التأخير"/>
    <tableColumn id="19" name="إجمالي العقود"/>
    <tableColumn id="20" name="آخر تعديل"/>
  </tableColumns>
  <tableStyleInfo name="TableStyleMedium2" showRowStripes="1"/>
</table>
</file>

<file path=xl/tables/table2.xml><?xml version="1.0" encoding="utf-8"?>
<table xmlns="http://schemas.openxmlformats.org/spreadsheetml/2006/main" id="2" name="Table2" displayName="Table2" ref="A1:V2" headerRowCount="1">
  <autoFilter ref="A1:V2"/>
  <tableColumns count="22">
    <tableColumn id="1" name="رقم العقد"/>
    <tableColumn id="2" name="رقم العميل"/>
    <tableColumn id="3" name="تاريخ العقد"/>
    <tableColumn id="4" name="مبلغ التمويل"/>
    <tableColumn id="5" name="إجمالي السداد"/>
    <tableColumn id="6" name="مدة العقد"/>
    <tableColumn id="7" name="أول قسط"/>
    <tableColumn id="8" name="رسوم العقد"/>
    <tableColumn id="9" name="ملاحظات"/>
    <tableColumn id="10" name="حالة الصرف"/>
    <tableColumn id="11" name="مبلغ القسط"/>
    <tableColumn id="12" name="إجمالي المحصل"/>
    <tableColumn id="13" name="المبلغ المتبقي"/>
    <tableColumn id="14" name="الربح المتوقع"/>
    <tableColumn id="15" name="عدد الأقساط المسددة"/>
    <tableColumn id="16" name="عدد الأقساط المتبقية"/>
    <tableColumn id="17" name="المتبقي من التمويل"/>
    <tableColumn id="18" name="الاستحقاق القادم"/>
    <tableColumn id="19" name="تاريخ انتهاء العقد"/>
    <tableColumn id="20" name="حالة العقد"/>
    <tableColumn id="21" name="خصم السداد المبكر"/>
    <tableColumn id="22" name="آخر تعديل"/>
  </tableColumns>
  <tableStyleInfo name="TableStyleMedium2" showRowStripes="1"/>
</table>
</file>

<file path=xl/tables/table3.xml><?xml version="1.0" encoding="utf-8"?>
<table xmlns="http://schemas.openxmlformats.org/spreadsheetml/2006/main" id="3" name="Table3" displayName="Table3" ref="A1:K17" headerRowCount="1">
  <autoFilter ref="A1:K17"/>
  <tableColumns count="11">
    <tableColumn id="1" name="رقم القسط"/>
    <tableColumn id="2" name="رقم العقد"/>
    <tableColumn id="3" name="تسلسل القسط"/>
    <tableColumn id="4" name="تاريخ الاستحقاق"/>
    <tableColumn id="5" name="مبلغ القسط"/>
    <tableColumn id="6" name="المحصل"/>
    <tableColumn id="7" name="المتبقي"/>
    <tableColumn id="8" name="حالة القسط"/>
    <tableColumn id="9" name="أيام التأخير"/>
    <tableColumn id="10" name="تاريخ اكتمال السداد"/>
    <tableColumn id="11" name="خصم التسوية"/>
  </tableColumns>
  <tableStyleInfo name="TableStyleMedium2" showRowStripes="1"/>
</table>
</file>

<file path=xl/tables/table4.xml><?xml version="1.0" encoding="utf-8"?>
<table xmlns="http://schemas.openxmlformats.org/spreadsheetml/2006/main" id="4" name="Table4" displayName="Table4" ref="A1:N5" headerRowCount="1">
  <autoFilter ref="A1:N5"/>
  <tableColumns count="14">
    <tableColumn id="1" name="رقم العملية"/>
    <tableColumn id="2" name="التاريخ"/>
    <tableColumn id="3" name="المبلغ"/>
    <tableColumn id="4" name="نوع العملية"/>
    <tableColumn id="5" name="رقم العقد"/>
    <tableColumn id="6" name="المحصل"/>
    <tableColumn id="7" name="المرجع"/>
    <tableColumn id="8" name="ملاحظات"/>
    <tableColumn id="9" name="أثر الحركة"/>
    <tableColumn id="10" name="خصم التسوية"/>
    <tableColumn id="11" name="حالة العملية"/>
    <tableColumn id="12" name="وقت التسجيل"/>
    <tableColumn id="13" name="رقم الطلب"/>
    <tableColumn id="14" name="إلغاء بواسطة"/>
  </tableColumns>
  <tableStyleInfo name="TableStyleMedium2" showRowStripes="1"/>
</table>
</file>

<file path=xl/tables/table5.xml><?xml version="1.0" encoding="utf-8"?>
<table xmlns="http://schemas.openxmlformats.org/spreadsheetml/2006/main" id="5" name="Table7" displayName="Table7" ref="A1:C9" headerRowCount="1">
  <autoFilter ref="A1:C9"/>
  <tableColumns count="3">
    <tableColumn id="1" name="المفتاح"/>
    <tableColumn id="2" name="القيمة"/>
    <tableColumn id="3" name="الوصف"/>
  </tableColumns>
  <tableStyleInfo name="TableStyleMedium2" showRowStripes="1"/>
</table>
</file>

<file path=xl/tables/table6.xml><?xml version="1.0" encoding="utf-8"?>
<table xmlns="http://schemas.openxmlformats.org/spreadsheetml/2006/main" id="6" name="Table8" displayName="Table8" ref="A1:E6" headerRowCount="1">
  <autoFilter ref="A1:E6"/>
  <tableColumns count="5">
    <tableColumn id="1" name="رقم السجل"/>
    <tableColumn id="2" name="الوقت"/>
    <tableColumn id="3" name="نوع الإجراء"/>
    <tableColumn id="4" name="رقم السجل المتأثر"/>
    <tableColumn id="5" name="تفاصيل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tabColor rgb="00178D88"/>
    <outlinePr summaryBelow="1" summaryRight="0"/>
    <pageSetUpPr fitToPage="1"/>
  </sheetPr>
  <dimension ref="A1:B13"/>
  <sheetViews>
    <sheetView showGridLines="0" rightToLeft="1" workbookViewId="0">
      <selection activeCell="A1" sqref="A1"/>
    </sheetView>
  </sheetViews>
  <sheetFormatPr baseColWidth="8" defaultRowHeight="15"/>
  <cols>
    <col width="43" customWidth="1" min="1" max="1"/>
    <col width="108" customWidth="1" min="2" max="2"/>
  </cols>
  <sheetData>
    <row r="1" ht="30" customHeight="1">
      <c r="A1" s="1" t="inlineStr">
        <is>
          <t>إدارة التقسيط</t>
        </is>
      </c>
      <c r="B1" s="2" t="inlineStr"/>
    </row>
    <row r="2">
      <c r="A2" s="3" t="inlineStr">
        <is>
          <t>المؤشر</t>
        </is>
      </c>
      <c r="B2" s="3" t="inlineStr">
        <is>
          <t>القيمة بالريال / العدد</t>
        </is>
      </c>
    </row>
    <row r="3" ht="27" customHeight="1">
      <c r="A3" s="4" t="inlineStr">
        <is>
          <t>السيولة المتاحة</t>
        </is>
      </c>
      <c r="B3" s="14">
        <f>SUM('الحركات المالية'!I2:I5)</f>
        <v/>
      </c>
    </row>
    <row r="4" ht="27" customHeight="1">
      <c r="A4" s="4" t="inlineStr">
        <is>
          <t>المتبقي للتحصيل</t>
        </is>
      </c>
      <c r="B4" s="14">
        <f>SUMIFS('العقود'!M2:M2,'العقود'!J2:J2,"مصروف")</f>
        <v/>
      </c>
    </row>
    <row r="5" ht="27" customHeight="1">
      <c r="A5" s="4" t="inlineStr">
        <is>
          <t>المتبقي من التمويل (تقدير نسبي)</t>
        </is>
      </c>
      <c r="B5" s="14">
        <f>SUMIFS('العقود'!Q2:Q2,'العقود'!J2:J2,"مصروف")</f>
        <v/>
      </c>
    </row>
    <row r="6" ht="27" customHeight="1">
      <c r="A6" s="4" t="inlineStr">
        <is>
          <t>إجمالي التمويل المصروف</t>
        </is>
      </c>
      <c r="B6" s="14">
        <f>SUMIFS('الحركات المالية'!C2:C5,'الحركات المالية'!D2:D5,"صرف تمويل",'الحركات المالية'!K2:K5,"نشطة")</f>
        <v/>
      </c>
    </row>
    <row r="7" ht="27" customHeight="1">
      <c r="A7" s="4" t="inlineStr">
        <is>
          <t>إجمالي التحصيل</t>
        </is>
      </c>
      <c r="B7" s="14">
        <f>SUM('العقود'!L2:L2)</f>
        <v/>
      </c>
    </row>
    <row r="8" ht="27" customHeight="1">
      <c r="A8" s="4" t="inlineStr">
        <is>
          <t>الربح التعاقدي المتوقع</t>
        </is>
      </c>
      <c r="B8" s="14">
        <f>SUMIFS('العقود'!N2:N2,'العقود'!J2:J2,"مصروف")</f>
        <v/>
      </c>
    </row>
    <row r="9" ht="27" customHeight="1">
      <c r="A9" s="4" t="inlineStr">
        <is>
          <t>خصومات التسوية</t>
        </is>
      </c>
      <c r="B9" s="14">
        <f>SUM('العقود'!U2:U2)</f>
        <v/>
      </c>
    </row>
    <row r="10" ht="27" customHeight="1">
      <c r="A10" s="4" t="inlineStr">
        <is>
          <t>العقود المصروفة</t>
        </is>
      </c>
      <c r="B10" s="6">
        <f>COUNTIFS('العقود'!J2:J2,"مصروف")</f>
        <v/>
      </c>
    </row>
    <row r="11" ht="27" customHeight="1">
      <c r="A11" s="4" t="inlineStr">
        <is>
          <t>عدد العملاء</t>
        </is>
      </c>
      <c r="B11" s="6">
        <f>COUNTA('العملاء'!A2:A2)</f>
        <v/>
      </c>
    </row>
    <row r="12">
      <c r="A12" s="4" t="inlineStr">
        <is>
          <t>المصدر</t>
        </is>
      </c>
      <c r="B12" s="4" t="inlineStr">
        <is>
          <t>https://fabulous-lipstick-e9d.notion.site/39d57dc9757a8008a982c7af38a4c0de</t>
        </is>
      </c>
    </row>
    <row r="13">
      <c r="A13" s="4" t="inlineStr">
        <is>
          <t>ملاحظة</t>
        </is>
      </c>
      <c r="B13" s="4" t="inlineStr">
        <is>
          <t>الربح المتوقع لا يعني الربح المحقق؛ التصنيف يدوي.</t>
        </is>
      </c>
    </row>
  </sheetData>
  <autoFilter ref="A1:B13"/>
  <printOptions horizontalCentered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4B55"/>
    <outlinePr summaryBelow="1" summaryRight="0"/>
    <pageSetUpPr fitToPage="1"/>
  </sheetPr>
  <dimension ref="A1:T2"/>
  <sheetViews>
    <sheetView showGridLines="0" rightToLeft="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1" customWidth="1" min="13" max="13"/>
    <col width="48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 ht="30" customHeight="1">
      <c r="A1" s="7" t="inlineStr">
        <is>
          <t>رقم العميل</t>
        </is>
      </c>
      <c r="B1" s="7" t="inlineStr">
        <is>
          <t>اسم العميل</t>
        </is>
      </c>
      <c r="C1" s="7" t="inlineStr">
        <is>
          <t>رقم الهوية</t>
        </is>
      </c>
      <c r="D1" s="7" t="inlineStr">
        <is>
          <t>رقم الجوال</t>
        </is>
      </c>
      <c r="E1" s="7" t="inlineStr">
        <is>
          <t>تاريخ إضافة العميل</t>
        </is>
      </c>
      <c r="F1" s="7" t="inlineStr">
        <is>
          <t>حالة العميل</t>
        </is>
      </c>
      <c r="G1" s="7" t="inlineStr">
        <is>
          <t>التصنيف الائتماني</t>
        </is>
      </c>
      <c r="H1" s="7" t="inlineStr">
        <is>
          <t>الحد الائتماني</t>
        </is>
      </c>
      <c r="I1" s="7" t="inlineStr">
        <is>
          <t>العنوان</t>
        </is>
      </c>
      <c r="J1" s="7" t="inlineStr">
        <is>
          <t>جهة العمل</t>
        </is>
      </c>
      <c r="K1" s="7" t="inlineStr">
        <is>
          <t>الدخل الشهري</t>
        </is>
      </c>
      <c r="L1" s="7" t="inlineStr">
        <is>
          <t>اسم الكفيل</t>
        </is>
      </c>
      <c r="M1" s="7" t="inlineStr">
        <is>
          <t>جوال الكفيل</t>
        </is>
      </c>
      <c r="N1" s="7" t="inlineStr">
        <is>
          <t>ملاحظات</t>
        </is>
      </c>
      <c r="O1" s="7" t="inlineStr">
        <is>
          <t>إجمالي التمويل</t>
        </is>
      </c>
      <c r="P1" s="7" t="inlineStr">
        <is>
          <t>إجمالي المتبقي</t>
        </is>
      </c>
      <c r="Q1" s="7" t="inlineStr">
        <is>
          <t>المتبقي من التمويل</t>
        </is>
      </c>
      <c r="R1" s="7" t="inlineStr">
        <is>
          <t>عدد مرات التأخير</t>
        </is>
      </c>
      <c r="S1" s="7" t="inlineStr">
        <is>
          <t>إجمالي العقود</t>
        </is>
      </c>
      <c r="T1" s="7" t="inlineStr">
        <is>
          <t>آخر تعديل</t>
        </is>
      </c>
    </row>
    <row r="2">
      <c r="A2" s="4" t="inlineStr">
        <is>
          <t>CL-F946F40BA6CD</t>
        </is>
      </c>
      <c r="B2" s="4" t="inlineStr">
        <is>
          <t>تركي</t>
        </is>
      </c>
      <c r="C2" s="4" t="inlineStr">
        <is>
          <t>1084978434</t>
        </is>
      </c>
      <c r="D2" s="4" t="inlineStr">
        <is>
          <t>05009798694</t>
        </is>
      </c>
      <c r="E2" s="15" t="n">
        <v>46313</v>
      </c>
      <c r="F2" s="4" t="inlineStr">
        <is>
          <t>نشط</t>
        </is>
      </c>
      <c r="G2" s="4" t="inlineStr">
        <is>
          <t>غير مصنف</t>
        </is>
      </c>
      <c r="H2" s="16" t="n">
        <v>10000</v>
      </c>
      <c r="I2" s="4" t="inlineStr"/>
      <c r="J2" s="4" t="inlineStr"/>
      <c r="K2" s="16" t="n">
        <v>5400</v>
      </c>
      <c r="L2" s="4" t="inlineStr">
        <is>
          <t>ناصر</t>
        </is>
      </c>
      <c r="M2" s="4" t="inlineStr">
        <is>
          <t>05487694872</t>
        </is>
      </c>
      <c r="N2" s="4" t="inlineStr"/>
      <c r="O2" s="10">
        <f>SUMIFS('العقود'!$D$2:$D$2,'العقود'!$B$2:$B$2,A2,'العقود'!$J$2:$J$2,"مصروف")</f>
        <v/>
      </c>
      <c r="P2" s="10">
        <f>SUMIFS('العقود'!$M$2:$M$2,'العقود'!$B$2:$B$2,A2,'العقود'!$J$2:$J$2,"مصروف")</f>
        <v/>
      </c>
      <c r="Q2" s="10">
        <f>SUMIFS('العقود'!$Q$2:$Q$2,'العقود'!$B$2:$B$2,A2,'العقود'!$J$2:$J$2,"مصروف")</f>
        <v/>
      </c>
      <c r="R2" s="16" t="n">
        <v>0</v>
      </c>
      <c r="S2" s="10">
        <f>COUNTIFS('العقود'!$B$2:$B$2,A2)</f>
        <v/>
      </c>
      <c r="T2" s="4" t="inlineStr">
        <is>
          <t>2026-10-18T17:51:11.361902+03:00</t>
        </is>
      </c>
    </row>
  </sheetData>
  <autoFilter ref="A1:T2"/>
  <printOptions horizontalCentered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344B55"/>
    <outlinePr summaryBelow="1" summaryRight="0"/>
    <pageSetUpPr fitToPage="1"/>
  </sheetPr>
  <dimension ref="A1:V2"/>
  <sheetViews>
    <sheetView showGridLines="0" rightToLeft="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48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</cols>
  <sheetData>
    <row r="1" ht="30" customHeight="1">
      <c r="A1" s="7" t="inlineStr">
        <is>
          <t>رقم العقد</t>
        </is>
      </c>
      <c r="B1" s="7" t="inlineStr">
        <is>
          <t>رقم العميل</t>
        </is>
      </c>
      <c r="C1" s="7" t="inlineStr">
        <is>
          <t>تاريخ العقد</t>
        </is>
      </c>
      <c r="D1" s="7" t="inlineStr">
        <is>
          <t>مبلغ التمويل</t>
        </is>
      </c>
      <c r="E1" s="7" t="inlineStr">
        <is>
          <t>إجمالي السداد</t>
        </is>
      </c>
      <c r="F1" s="7" t="inlineStr">
        <is>
          <t>مدة العقد</t>
        </is>
      </c>
      <c r="G1" s="7" t="inlineStr">
        <is>
          <t>أول قسط</t>
        </is>
      </c>
      <c r="H1" s="7" t="inlineStr">
        <is>
          <t>رسوم العقد</t>
        </is>
      </c>
      <c r="I1" s="7" t="inlineStr">
        <is>
          <t>ملاحظات</t>
        </is>
      </c>
      <c r="J1" s="7" t="inlineStr">
        <is>
          <t>حالة الصرف</t>
        </is>
      </c>
      <c r="K1" s="7" t="inlineStr">
        <is>
          <t>مبلغ القسط</t>
        </is>
      </c>
      <c r="L1" s="7" t="inlineStr">
        <is>
          <t>إجمالي المحصل</t>
        </is>
      </c>
      <c r="M1" s="7" t="inlineStr">
        <is>
          <t>المبلغ المتبقي</t>
        </is>
      </c>
      <c r="N1" s="7" t="inlineStr">
        <is>
          <t>الربح المتوقع</t>
        </is>
      </c>
      <c r="O1" s="7" t="inlineStr">
        <is>
          <t>عدد الأقساط المسددة</t>
        </is>
      </c>
      <c r="P1" s="7" t="inlineStr">
        <is>
          <t>عدد الأقساط المتبقية</t>
        </is>
      </c>
      <c r="Q1" s="7" t="inlineStr">
        <is>
          <t>المتبقي من التمويل</t>
        </is>
      </c>
      <c r="R1" s="7" t="inlineStr">
        <is>
          <t>الاستحقاق القادم</t>
        </is>
      </c>
      <c r="S1" s="7" t="inlineStr">
        <is>
          <t>تاريخ انتهاء العقد</t>
        </is>
      </c>
      <c r="T1" s="7" t="inlineStr">
        <is>
          <t>حالة العقد</t>
        </is>
      </c>
      <c r="U1" s="7" t="inlineStr">
        <is>
          <t>خصم السداد المبكر</t>
        </is>
      </c>
      <c r="V1" s="7" t="inlineStr">
        <is>
          <t>آخر تعديل</t>
        </is>
      </c>
    </row>
    <row r="2">
      <c r="A2" s="4" t="inlineStr">
        <is>
          <t>001</t>
        </is>
      </c>
      <c r="B2" s="4" t="inlineStr">
        <is>
          <t>CL-F946F40BA6CD</t>
        </is>
      </c>
      <c r="C2" s="15" t="n">
        <v>46313</v>
      </c>
      <c r="D2" s="16" t="n">
        <v>5000</v>
      </c>
      <c r="E2" s="16" t="n">
        <v>8000</v>
      </c>
      <c r="F2" s="16" t="n">
        <v>16</v>
      </c>
      <c r="G2" s="15" t="n">
        <v>46355</v>
      </c>
      <c r="H2" s="16" t="n">
        <v>200</v>
      </c>
      <c r="I2" s="4" t="inlineStr"/>
      <c r="J2" s="4" t="inlineStr">
        <is>
          <t>مصروف</t>
        </is>
      </c>
      <c r="K2" s="10">
        <f>ROUNDDOWN(E2/F2,2)</f>
        <v/>
      </c>
      <c r="L2" s="10">
        <f>SUMIFS('الأقساط'!$F$2:$F$17,'الأقساط'!$B$2:$B$17,A2)</f>
        <v/>
      </c>
      <c r="M2" s="10">
        <f>MAX(0,E2-L2-U2)</f>
        <v/>
      </c>
      <c r="N2" s="10">
        <f>E2-D2</f>
        <v/>
      </c>
      <c r="O2" s="10">
        <f>COUNTIFS('الأقساط'!$B$2:$B$17,A2,'الأقساط'!$G$2:$G$17,0)</f>
        <v/>
      </c>
      <c r="P2" s="10">
        <f>F2-O2</f>
        <v/>
      </c>
      <c r="Q2" s="10">
        <f>IF(E2=0,0,ROUND(D2*M2/E2,2))</f>
        <v/>
      </c>
      <c r="R2" s="15" t="n">
        <v>46355</v>
      </c>
      <c r="S2" s="10">
        <f>EDATE(G2,F2-1)</f>
        <v/>
      </c>
      <c r="T2" s="10">
        <f>IF(J2="لم يصرف","مسودة",IF(M2=0,IF(COUNTIFS('الحركات المالية'!$E$2:$E$5,A2,'الحركات المالية'!$D$2:$D$5,"سداد مبكر",'الحركات المالية'!$K$2:$K$5,"نشطة")&gt;0,"مسدد مبكرًا","مكتمل"),IF(COUNTIFS('الأقساط'!$B$2:$B$17,A2,'الأقساط'!$G$2:$G$17,"&gt;0",'الأقساط'!$D$2:$D$17,"&lt;"&amp;TODAY())&gt;0,"متأخر","منتظم")))</f>
        <v/>
      </c>
      <c r="U2" s="10">
        <f>SUMIFS('الحركات المالية'!$J$2:$J$5,'الحركات المالية'!$E$2:$E$5,A2,'الحركات المالية'!$K$2:$K$5,"نشطة")</f>
        <v/>
      </c>
      <c r="V2" s="4" t="inlineStr">
        <is>
          <t>2026-10-18T17:53:11.208726+03:00</t>
        </is>
      </c>
    </row>
  </sheetData>
  <autoFilter ref="A1:V2"/>
  <printOptions horizontalCentered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344B55"/>
    <outlinePr summaryBelow="1" summaryRight="0"/>
    <pageSetUpPr fitToPage="1"/>
  </sheetPr>
  <dimension ref="A1:K17"/>
  <sheetViews>
    <sheetView showGridLines="0" rightToLeft="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 ht="30" customHeight="1">
      <c r="A1" s="7" t="inlineStr">
        <is>
          <t>رقم القسط</t>
        </is>
      </c>
      <c r="B1" s="7" t="inlineStr">
        <is>
          <t>رقم العقد</t>
        </is>
      </c>
      <c r="C1" s="7" t="inlineStr">
        <is>
          <t>تسلسل القسط</t>
        </is>
      </c>
      <c r="D1" s="7" t="inlineStr">
        <is>
          <t>تاريخ الاستحقاق</t>
        </is>
      </c>
      <c r="E1" s="7" t="inlineStr">
        <is>
          <t>مبلغ القسط</t>
        </is>
      </c>
      <c r="F1" s="7" t="inlineStr">
        <is>
          <t>المحصل</t>
        </is>
      </c>
      <c r="G1" s="7" t="inlineStr">
        <is>
          <t>المتبقي</t>
        </is>
      </c>
      <c r="H1" s="7" t="inlineStr">
        <is>
          <t>حالة القسط</t>
        </is>
      </c>
      <c r="I1" s="7" t="inlineStr">
        <is>
          <t>أيام التأخير</t>
        </is>
      </c>
      <c r="J1" s="7" t="inlineStr">
        <is>
          <t>تاريخ اكتمال السداد</t>
        </is>
      </c>
      <c r="K1" s="7" t="inlineStr">
        <is>
          <t>خصم التسوية</t>
        </is>
      </c>
    </row>
    <row r="2">
      <c r="A2" s="4" t="inlineStr">
        <is>
          <t>001-001</t>
        </is>
      </c>
      <c r="B2" s="4" t="inlineStr">
        <is>
          <t>001</t>
        </is>
      </c>
      <c r="C2" s="16" t="n">
        <v>1</v>
      </c>
      <c r="D2" s="15" t="n">
        <v>46355</v>
      </c>
      <c r="E2" s="16" t="n">
        <v>500</v>
      </c>
      <c r="F2" s="10">
        <f>SUMIFS('توزيع التحصيل'!$D$2:$D$2,'توزيع التحصيل'!$C$2:$C$2,A2,'توزيع التحصيل'!$E$2:$E$2,"نقد")</f>
        <v/>
      </c>
      <c r="G2" s="10">
        <f>MAX(0,E2-F2-K2)</f>
        <v/>
      </c>
      <c r="H2" s="10">
        <f>IF(COUNTIFS('العقود'!$A$2:$A$2,B2,'العقود'!$J$2:$J$2,"مصروف")=0,"لم يصرف",IF(G2=0,"مسدد",IF(D2&lt;TODAY(),"متأخر",IF(D2=TODAY(),"مستحق اليوم",IF(F2&gt;0,"سداد جزئي","قادم")))))</f>
        <v/>
      </c>
      <c r="I2" s="10">
        <f>IF(H2="لم يصرف",0,IF(G2&gt;0,MAX(0,TODAY()-D2),IF(J2="",0,MAX(0,J2-D2))))</f>
        <v/>
      </c>
      <c r="J2" s="4" t="n"/>
      <c r="K2" s="10">
        <f>SUMIFS('توزيع التحصيل'!$D$2:$D$2,'توزيع التحصيل'!$C$2:$C$2,A2,'توزيع التحصيل'!$E$2:$E$2,"خصم")</f>
        <v/>
      </c>
    </row>
    <row r="3">
      <c r="A3" s="4" t="inlineStr">
        <is>
          <t>001-002</t>
        </is>
      </c>
      <c r="B3" s="4" t="inlineStr">
        <is>
          <t>001</t>
        </is>
      </c>
      <c r="C3" s="16" t="n">
        <v>2</v>
      </c>
      <c r="D3" s="15" t="n">
        <v>46385</v>
      </c>
      <c r="E3" s="16" t="n">
        <v>500</v>
      </c>
      <c r="F3" s="10">
        <f>SUMIFS('توزيع التحصيل'!$D$2:$D$2,'توزيع التحصيل'!$C$2:$C$2,A3,'توزيع التحصيل'!$E$2:$E$2,"نقد")</f>
        <v/>
      </c>
      <c r="G3" s="10">
        <f>MAX(0,E3-F3-K3)</f>
        <v/>
      </c>
      <c r="H3" s="10">
        <f>IF(COUNTIFS('العقود'!$A$2:$A$2,B3,'العقود'!$J$2:$J$2,"مصروف")=0,"لم يصرف",IF(G3=0,"مسدد",IF(D3&lt;TODAY(),"متأخر",IF(D3=TODAY(),"مستحق اليوم",IF(F3&gt;0,"سداد جزئي","قادم")))))</f>
        <v/>
      </c>
      <c r="I3" s="10">
        <f>IF(H3="لم يصرف",0,IF(G3&gt;0,MAX(0,TODAY()-D3),IF(J3="",0,MAX(0,J3-D3))))</f>
        <v/>
      </c>
      <c r="J3" s="4" t="n"/>
      <c r="K3" s="10">
        <f>SUMIFS('توزيع التحصيل'!$D$2:$D$2,'توزيع التحصيل'!$C$2:$C$2,A3,'توزيع التحصيل'!$E$2:$E$2,"خصم")</f>
        <v/>
      </c>
    </row>
    <row r="4">
      <c r="A4" s="4" t="inlineStr">
        <is>
          <t>001-003</t>
        </is>
      </c>
      <c r="B4" s="4" t="inlineStr">
        <is>
          <t>001</t>
        </is>
      </c>
      <c r="C4" s="16" t="n">
        <v>3</v>
      </c>
      <c r="D4" s="15" t="n">
        <v>46416</v>
      </c>
      <c r="E4" s="16" t="n">
        <v>500</v>
      </c>
      <c r="F4" s="10">
        <f>SUMIFS('توزيع التحصيل'!$D$2:$D$2,'توزيع التحصيل'!$C$2:$C$2,A4,'توزيع التحصيل'!$E$2:$E$2,"نقد")</f>
        <v/>
      </c>
      <c r="G4" s="10">
        <f>MAX(0,E4-F4-K4)</f>
        <v/>
      </c>
      <c r="H4" s="10">
        <f>IF(COUNTIFS('العقود'!$A$2:$A$2,B4,'العقود'!$J$2:$J$2,"مصروف")=0,"لم يصرف",IF(G4=0,"مسدد",IF(D4&lt;TODAY(),"متأخر",IF(D4=TODAY(),"مستحق اليوم",IF(F4&gt;0,"سداد جزئي","قادم")))))</f>
        <v/>
      </c>
      <c r="I4" s="10">
        <f>IF(H4="لم يصرف",0,IF(G4&gt;0,MAX(0,TODAY()-D4),IF(J4="",0,MAX(0,J4-D4))))</f>
        <v/>
      </c>
      <c r="J4" s="4" t="n"/>
      <c r="K4" s="10">
        <f>SUMIFS('توزيع التحصيل'!$D$2:$D$2,'توزيع التحصيل'!$C$2:$C$2,A4,'توزيع التحصيل'!$E$2:$E$2,"خصم")</f>
        <v/>
      </c>
    </row>
    <row r="5">
      <c r="A5" s="4" t="inlineStr">
        <is>
          <t>001-004</t>
        </is>
      </c>
      <c r="B5" s="4" t="inlineStr">
        <is>
          <t>001</t>
        </is>
      </c>
      <c r="C5" s="16" t="n">
        <v>4</v>
      </c>
      <c r="D5" s="15" t="n">
        <v>46446</v>
      </c>
      <c r="E5" s="16" t="n">
        <v>500</v>
      </c>
      <c r="F5" s="10">
        <f>SUMIFS('توزيع التحصيل'!$D$2:$D$2,'توزيع التحصيل'!$C$2:$C$2,A5,'توزيع التحصيل'!$E$2:$E$2,"نقد")</f>
        <v/>
      </c>
      <c r="G5" s="10">
        <f>MAX(0,E5-F5-K5)</f>
        <v/>
      </c>
      <c r="H5" s="10">
        <f>IF(COUNTIFS('العقود'!$A$2:$A$2,B5,'العقود'!$J$2:$J$2,"مصروف")=0,"لم يصرف",IF(G5=0,"مسدد",IF(D5&lt;TODAY(),"متأخر",IF(D5=TODAY(),"مستحق اليوم",IF(F5&gt;0,"سداد جزئي","قادم")))))</f>
        <v/>
      </c>
      <c r="I5" s="10">
        <f>IF(H5="لم يصرف",0,IF(G5&gt;0,MAX(0,TODAY()-D5),IF(J5="",0,MAX(0,J5-D5))))</f>
        <v/>
      </c>
      <c r="J5" s="4" t="n"/>
      <c r="K5" s="10">
        <f>SUMIFS('توزيع التحصيل'!$D$2:$D$2,'توزيع التحصيل'!$C$2:$C$2,A5,'توزيع التحصيل'!$E$2:$E$2,"خصم")</f>
        <v/>
      </c>
    </row>
    <row r="6">
      <c r="A6" s="4" t="inlineStr">
        <is>
          <t>001-005</t>
        </is>
      </c>
      <c r="B6" s="4" t="inlineStr">
        <is>
          <t>001</t>
        </is>
      </c>
      <c r="C6" s="16" t="n">
        <v>5</v>
      </c>
      <c r="D6" s="15" t="n">
        <v>46475</v>
      </c>
      <c r="E6" s="16" t="n">
        <v>500</v>
      </c>
      <c r="F6" s="10">
        <f>SUMIFS('توزيع التحصيل'!$D$2:$D$2,'توزيع التحصيل'!$C$2:$C$2,A6,'توزيع التحصيل'!$E$2:$E$2,"نقد")</f>
        <v/>
      </c>
      <c r="G6" s="10">
        <f>MAX(0,E6-F6-K6)</f>
        <v/>
      </c>
      <c r="H6" s="10">
        <f>IF(COUNTIFS('العقود'!$A$2:$A$2,B6,'العقود'!$J$2:$J$2,"مصروف")=0,"لم يصرف",IF(G6=0,"مسدد",IF(D6&lt;TODAY(),"متأخر",IF(D6=TODAY(),"مستحق اليوم",IF(F6&gt;0,"سداد جزئي","قادم")))))</f>
        <v/>
      </c>
      <c r="I6" s="10">
        <f>IF(H6="لم يصرف",0,IF(G6&gt;0,MAX(0,TODAY()-D6),IF(J6="",0,MAX(0,J6-D6))))</f>
        <v/>
      </c>
      <c r="J6" s="4" t="n"/>
      <c r="K6" s="10">
        <f>SUMIFS('توزيع التحصيل'!$D$2:$D$2,'توزيع التحصيل'!$C$2:$C$2,A6,'توزيع التحصيل'!$E$2:$E$2,"خصم")</f>
        <v/>
      </c>
    </row>
    <row r="7">
      <c r="A7" s="4" t="inlineStr">
        <is>
          <t>001-006</t>
        </is>
      </c>
      <c r="B7" s="4" t="inlineStr">
        <is>
          <t>001</t>
        </is>
      </c>
      <c r="C7" s="16" t="n">
        <v>6</v>
      </c>
      <c r="D7" s="15" t="n">
        <v>46506</v>
      </c>
      <c r="E7" s="16" t="n">
        <v>500</v>
      </c>
      <c r="F7" s="10">
        <f>SUMIFS('توزيع التحصيل'!$D$2:$D$2,'توزيع التحصيل'!$C$2:$C$2,A7,'توزيع التحصيل'!$E$2:$E$2,"نقد")</f>
        <v/>
      </c>
      <c r="G7" s="10">
        <f>MAX(0,E7-F7-K7)</f>
        <v/>
      </c>
      <c r="H7" s="10">
        <f>IF(COUNTIFS('العقود'!$A$2:$A$2,B7,'العقود'!$J$2:$J$2,"مصروف")=0,"لم يصرف",IF(G7=0,"مسدد",IF(D7&lt;TODAY(),"متأخر",IF(D7=TODAY(),"مستحق اليوم",IF(F7&gt;0,"سداد جزئي","قادم")))))</f>
        <v/>
      </c>
      <c r="I7" s="10">
        <f>IF(H7="لم يصرف",0,IF(G7&gt;0,MAX(0,TODAY()-D7),IF(J7="",0,MAX(0,J7-D7))))</f>
        <v/>
      </c>
      <c r="J7" s="4" t="n"/>
      <c r="K7" s="10">
        <f>SUMIFS('توزيع التحصيل'!$D$2:$D$2,'توزيع التحصيل'!$C$2:$C$2,A7,'توزيع التحصيل'!$E$2:$E$2,"خصم")</f>
        <v/>
      </c>
    </row>
    <row r="8">
      <c r="A8" s="4" t="inlineStr">
        <is>
          <t>001-007</t>
        </is>
      </c>
      <c r="B8" s="4" t="inlineStr">
        <is>
          <t>001</t>
        </is>
      </c>
      <c r="C8" s="16" t="n">
        <v>7</v>
      </c>
      <c r="D8" s="15" t="n">
        <v>46536</v>
      </c>
      <c r="E8" s="16" t="n">
        <v>500</v>
      </c>
      <c r="F8" s="10">
        <f>SUMIFS('توزيع التحصيل'!$D$2:$D$2,'توزيع التحصيل'!$C$2:$C$2,A8,'توزيع التحصيل'!$E$2:$E$2,"نقد")</f>
        <v/>
      </c>
      <c r="G8" s="10">
        <f>MAX(0,E8-F8-K8)</f>
        <v/>
      </c>
      <c r="H8" s="10">
        <f>IF(COUNTIFS('العقود'!$A$2:$A$2,B8,'العقود'!$J$2:$J$2,"مصروف")=0,"لم يصرف",IF(G8=0,"مسدد",IF(D8&lt;TODAY(),"متأخر",IF(D8=TODAY(),"مستحق اليوم",IF(F8&gt;0,"سداد جزئي","قادم")))))</f>
        <v/>
      </c>
      <c r="I8" s="10">
        <f>IF(H8="لم يصرف",0,IF(G8&gt;0,MAX(0,TODAY()-D8),IF(J8="",0,MAX(0,J8-D8))))</f>
        <v/>
      </c>
      <c r="J8" s="4" t="n"/>
      <c r="K8" s="10">
        <f>SUMIFS('توزيع التحصيل'!$D$2:$D$2,'توزيع التحصيل'!$C$2:$C$2,A8,'توزيع التحصيل'!$E$2:$E$2,"خصم")</f>
        <v/>
      </c>
    </row>
    <row r="9">
      <c r="A9" s="4" t="inlineStr">
        <is>
          <t>001-008</t>
        </is>
      </c>
      <c r="B9" s="4" t="inlineStr">
        <is>
          <t>001</t>
        </is>
      </c>
      <c r="C9" s="16" t="n">
        <v>8</v>
      </c>
      <c r="D9" s="15" t="n">
        <v>46567</v>
      </c>
      <c r="E9" s="16" t="n">
        <v>500</v>
      </c>
      <c r="F9" s="10">
        <f>SUMIFS('توزيع التحصيل'!$D$2:$D$2,'توزيع التحصيل'!$C$2:$C$2,A9,'توزيع التحصيل'!$E$2:$E$2,"نقد")</f>
        <v/>
      </c>
      <c r="G9" s="10">
        <f>MAX(0,E9-F9-K9)</f>
        <v/>
      </c>
      <c r="H9" s="10">
        <f>IF(COUNTIFS('العقود'!$A$2:$A$2,B9,'العقود'!$J$2:$J$2,"مصروف")=0,"لم يصرف",IF(G9=0,"مسدد",IF(D9&lt;TODAY(),"متأخر",IF(D9=TODAY(),"مستحق اليوم",IF(F9&gt;0,"سداد جزئي","قادم")))))</f>
        <v/>
      </c>
      <c r="I9" s="10">
        <f>IF(H9="لم يصرف",0,IF(G9&gt;0,MAX(0,TODAY()-D9),IF(J9="",0,MAX(0,J9-D9))))</f>
        <v/>
      </c>
      <c r="J9" s="4" t="n"/>
      <c r="K9" s="10">
        <f>SUMIFS('توزيع التحصيل'!$D$2:$D$2,'توزيع التحصيل'!$C$2:$C$2,A9,'توزيع التحصيل'!$E$2:$E$2,"خصم")</f>
        <v/>
      </c>
    </row>
    <row r="10">
      <c r="A10" s="4" t="inlineStr">
        <is>
          <t>001-009</t>
        </is>
      </c>
      <c r="B10" s="4" t="inlineStr">
        <is>
          <t>001</t>
        </is>
      </c>
      <c r="C10" s="16" t="n">
        <v>9</v>
      </c>
      <c r="D10" s="15" t="n">
        <v>46597</v>
      </c>
      <c r="E10" s="16" t="n">
        <v>500</v>
      </c>
      <c r="F10" s="10">
        <f>SUMIFS('توزيع التحصيل'!$D$2:$D$2,'توزيع التحصيل'!$C$2:$C$2,A10,'توزيع التحصيل'!$E$2:$E$2,"نقد")</f>
        <v/>
      </c>
      <c r="G10" s="10">
        <f>MAX(0,E10-F10-K10)</f>
        <v/>
      </c>
      <c r="H10" s="10">
        <f>IF(COUNTIFS('العقود'!$A$2:$A$2,B10,'العقود'!$J$2:$J$2,"مصروف")=0,"لم يصرف",IF(G10=0,"مسدد",IF(D10&lt;TODAY(),"متأخر",IF(D10=TODAY(),"مستحق اليوم",IF(F10&gt;0,"سداد جزئي","قادم")))))</f>
        <v/>
      </c>
      <c r="I10" s="10">
        <f>IF(H10="لم يصرف",0,IF(G10&gt;0,MAX(0,TODAY()-D10),IF(J10="",0,MAX(0,J10-D10))))</f>
        <v/>
      </c>
      <c r="J10" s="4" t="n"/>
      <c r="K10" s="10">
        <f>SUMIFS('توزيع التحصيل'!$D$2:$D$2,'توزيع التحصيل'!$C$2:$C$2,A10,'توزيع التحصيل'!$E$2:$E$2,"خصم")</f>
        <v/>
      </c>
    </row>
    <row r="11">
      <c r="A11" s="4" t="inlineStr">
        <is>
          <t>001-010</t>
        </is>
      </c>
      <c r="B11" s="4" t="inlineStr">
        <is>
          <t>001</t>
        </is>
      </c>
      <c r="C11" s="16" t="n">
        <v>10</v>
      </c>
      <c r="D11" s="15" t="n">
        <v>46628</v>
      </c>
      <c r="E11" s="16" t="n">
        <v>500</v>
      </c>
      <c r="F11" s="10">
        <f>SUMIFS('توزيع التحصيل'!$D$2:$D$2,'توزيع التحصيل'!$C$2:$C$2,A11,'توزيع التحصيل'!$E$2:$E$2,"نقد")</f>
        <v/>
      </c>
      <c r="G11" s="10">
        <f>MAX(0,E11-F11-K11)</f>
        <v/>
      </c>
      <c r="H11" s="10">
        <f>IF(COUNTIFS('العقود'!$A$2:$A$2,B11,'العقود'!$J$2:$J$2,"مصروف")=0,"لم يصرف",IF(G11=0,"مسدد",IF(D11&lt;TODAY(),"متأخر",IF(D11=TODAY(),"مستحق اليوم",IF(F11&gt;0,"سداد جزئي","قادم")))))</f>
        <v/>
      </c>
      <c r="I11" s="10">
        <f>IF(H11="لم يصرف",0,IF(G11&gt;0,MAX(0,TODAY()-D11),IF(J11="",0,MAX(0,J11-D11))))</f>
        <v/>
      </c>
      <c r="J11" s="4" t="n"/>
      <c r="K11" s="10">
        <f>SUMIFS('توزيع التحصيل'!$D$2:$D$2,'توزيع التحصيل'!$C$2:$C$2,A11,'توزيع التحصيل'!$E$2:$E$2,"خصم")</f>
        <v/>
      </c>
    </row>
    <row r="12">
      <c r="A12" s="4" t="inlineStr">
        <is>
          <t>001-011</t>
        </is>
      </c>
      <c r="B12" s="4" t="inlineStr">
        <is>
          <t>001</t>
        </is>
      </c>
      <c r="C12" s="16" t="n">
        <v>11</v>
      </c>
      <c r="D12" s="15" t="n">
        <v>46659</v>
      </c>
      <c r="E12" s="16" t="n">
        <v>500</v>
      </c>
      <c r="F12" s="10">
        <f>SUMIFS('توزيع التحصيل'!$D$2:$D$2,'توزيع التحصيل'!$C$2:$C$2,A12,'توزيع التحصيل'!$E$2:$E$2,"نقد")</f>
        <v/>
      </c>
      <c r="G12" s="10">
        <f>MAX(0,E12-F12-K12)</f>
        <v/>
      </c>
      <c r="H12" s="10">
        <f>IF(COUNTIFS('العقود'!$A$2:$A$2,B12,'العقود'!$J$2:$J$2,"مصروف")=0,"لم يصرف",IF(G12=0,"مسدد",IF(D12&lt;TODAY(),"متأخر",IF(D12=TODAY(),"مستحق اليوم",IF(F12&gt;0,"سداد جزئي","قادم")))))</f>
        <v/>
      </c>
      <c r="I12" s="10">
        <f>IF(H12="لم يصرف",0,IF(G12&gt;0,MAX(0,TODAY()-D12),IF(J12="",0,MAX(0,J12-D12))))</f>
        <v/>
      </c>
      <c r="J12" s="4" t="n"/>
      <c r="K12" s="10">
        <f>SUMIFS('توزيع التحصيل'!$D$2:$D$2,'توزيع التحصيل'!$C$2:$C$2,A12,'توزيع التحصيل'!$E$2:$E$2,"خصم")</f>
        <v/>
      </c>
    </row>
    <row r="13">
      <c r="A13" s="4" t="inlineStr">
        <is>
          <t>001-012</t>
        </is>
      </c>
      <c r="B13" s="4" t="inlineStr">
        <is>
          <t>001</t>
        </is>
      </c>
      <c r="C13" s="16" t="n">
        <v>12</v>
      </c>
      <c r="D13" s="15" t="n">
        <v>46689</v>
      </c>
      <c r="E13" s="16" t="n">
        <v>500</v>
      </c>
      <c r="F13" s="10">
        <f>SUMIFS('توزيع التحصيل'!$D$2:$D$2,'توزيع التحصيل'!$C$2:$C$2,A13,'توزيع التحصيل'!$E$2:$E$2,"نقد")</f>
        <v/>
      </c>
      <c r="G13" s="10">
        <f>MAX(0,E13-F13-K13)</f>
        <v/>
      </c>
      <c r="H13" s="10">
        <f>IF(COUNTIFS('العقود'!$A$2:$A$2,B13,'العقود'!$J$2:$J$2,"مصروف")=0,"لم يصرف",IF(G13=0,"مسدد",IF(D13&lt;TODAY(),"متأخر",IF(D13=TODAY(),"مستحق اليوم",IF(F13&gt;0,"سداد جزئي","قادم")))))</f>
        <v/>
      </c>
      <c r="I13" s="10">
        <f>IF(H13="لم يصرف",0,IF(G13&gt;0,MAX(0,TODAY()-D13),IF(J13="",0,MAX(0,J13-D13))))</f>
        <v/>
      </c>
      <c r="J13" s="4" t="n"/>
      <c r="K13" s="10">
        <f>SUMIFS('توزيع التحصيل'!$D$2:$D$2,'توزيع التحصيل'!$C$2:$C$2,A13,'توزيع التحصيل'!$E$2:$E$2,"خصم")</f>
        <v/>
      </c>
    </row>
    <row r="14">
      <c r="A14" s="4" t="inlineStr">
        <is>
          <t>001-013</t>
        </is>
      </c>
      <c r="B14" s="4" t="inlineStr">
        <is>
          <t>001</t>
        </is>
      </c>
      <c r="C14" s="16" t="n">
        <v>13</v>
      </c>
      <c r="D14" s="15" t="n">
        <v>46720</v>
      </c>
      <c r="E14" s="16" t="n">
        <v>500</v>
      </c>
      <c r="F14" s="10">
        <f>SUMIFS('توزيع التحصيل'!$D$2:$D$2,'توزيع التحصيل'!$C$2:$C$2,A14,'توزيع التحصيل'!$E$2:$E$2,"نقد")</f>
        <v/>
      </c>
      <c r="G14" s="10">
        <f>MAX(0,E14-F14-K14)</f>
        <v/>
      </c>
      <c r="H14" s="10">
        <f>IF(COUNTIFS('العقود'!$A$2:$A$2,B14,'العقود'!$J$2:$J$2,"مصروف")=0,"لم يصرف",IF(G14=0,"مسدد",IF(D14&lt;TODAY(),"متأخر",IF(D14=TODAY(),"مستحق اليوم",IF(F14&gt;0,"سداد جزئي","قادم")))))</f>
        <v/>
      </c>
      <c r="I14" s="10">
        <f>IF(H14="لم يصرف",0,IF(G14&gt;0,MAX(0,TODAY()-D14),IF(J14="",0,MAX(0,J14-D14))))</f>
        <v/>
      </c>
      <c r="J14" s="4" t="n"/>
      <c r="K14" s="10">
        <f>SUMIFS('توزيع التحصيل'!$D$2:$D$2,'توزيع التحصيل'!$C$2:$C$2,A14,'توزيع التحصيل'!$E$2:$E$2,"خصم")</f>
        <v/>
      </c>
    </row>
    <row r="15">
      <c r="A15" s="4" t="inlineStr">
        <is>
          <t>001-014</t>
        </is>
      </c>
      <c r="B15" s="4" t="inlineStr">
        <is>
          <t>001</t>
        </is>
      </c>
      <c r="C15" s="16" t="n">
        <v>14</v>
      </c>
      <c r="D15" s="15" t="n">
        <v>46750</v>
      </c>
      <c r="E15" s="16" t="n">
        <v>500</v>
      </c>
      <c r="F15" s="10">
        <f>SUMIFS('توزيع التحصيل'!$D$2:$D$2,'توزيع التحصيل'!$C$2:$C$2,A15,'توزيع التحصيل'!$E$2:$E$2,"نقد")</f>
        <v/>
      </c>
      <c r="G15" s="10">
        <f>MAX(0,E15-F15-K15)</f>
        <v/>
      </c>
      <c r="H15" s="10">
        <f>IF(COUNTIFS('العقود'!$A$2:$A$2,B15,'العقود'!$J$2:$J$2,"مصروف")=0,"لم يصرف",IF(G15=0,"مسدد",IF(D15&lt;TODAY(),"متأخر",IF(D15=TODAY(),"مستحق اليوم",IF(F15&gt;0,"سداد جزئي","قادم")))))</f>
        <v/>
      </c>
      <c r="I15" s="10">
        <f>IF(H15="لم يصرف",0,IF(G15&gt;0,MAX(0,TODAY()-D15),IF(J15="",0,MAX(0,J15-D15))))</f>
        <v/>
      </c>
      <c r="J15" s="4" t="n"/>
      <c r="K15" s="10">
        <f>SUMIFS('توزيع التحصيل'!$D$2:$D$2,'توزيع التحصيل'!$C$2:$C$2,A15,'توزيع التحصيل'!$E$2:$E$2,"خصم")</f>
        <v/>
      </c>
    </row>
    <row r="16">
      <c r="A16" s="4" t="inlineStr">
        <is>
          <t>001-015</t>
        </is>
      </c>
      <c r="B16" s="4" t="inlineStr">
        <is>
          <t>001</t>
        </is>
      </c>
      <c r="C16" s="16" t="n">
        <v>15</v>
      </c>
      <c r="D16" s="15" t="n">
        <v>46781</v>
      </c>
      <c r="E16" s="16" t="n">
        <v>500</v>
      </c>
      <c r="F16" s="10">
        <f>SUMIFS('توزيع التحصيل'!$D$2:$D$2,'توزيع التحصيل'!$C$2:$C$2,A16,'توزيع التحصيل'!$E$2:$E$2,"نقد")</f>
        <v/>
      </c>
      <c r="G16" s="10">
        <f>MAX(0,E16-F16-K16)</f>
        <v/>
      </c>
      <c r="H16" s="10">
        <f>IF(COUNTIFS('العقود'!$A$2:$A$2,B16,'العقود'!$J$2:$J$2,"مصروف")=0,"لم يصرف",IF(G16=0,"مسدد",IF(D16&lt;TODAY(),"متأخر",IF(D16=TODAY(),"مستحق اليوم",IF(F16&gt;0,"سداد جزئي","قادم")))))</f>
        <v/>
      </c>
      <c r="I16" s="10">
        <f>IF(H16="لم يصرف",0,IF(G16&gt;0,MAX(0,TODAY()-D16),IF(J16="",0,MAX(0,J16-D16))))</f>
        <v/>
      </c>
      <c r="J16" s="4" t="n"/>
      <c r="K16" s="10">
        <f>SUMIFS('توزيع التحصيل'!$D$2:$D$2,'توزيع التحصيل'!$C$2:$C$2,A16,'توزيع التحصيل'!$E$2:$E$2,"خصم")</f>
        <v/>
      </c>
    </row>
    <row r="17">
      <c r="A17" s="4" t="inlineStr">
        <is>
          <t>001-016</t>
        </is>
      </c>
      <c r="B17" s="4" t="inlineStr">
        <is>
          <t>001</t>
        </is>
      </c>
      <c r="C17" s="16" t="n">
        <v>16</v>
      </c>
      <c r="D17" s="15" t="n">
        <v>46812</v>
      </c>
      <c r="E17" s="16" t="n">
        <v>500</v>
      </c>
      <c r="F17" s="10">
        <f>SUMIFS('توزيع التحصيل'!$D$2:$D$2,'توزيع التحصيل'!$C$2:$C$2,A17,'توزيع التحصيل'!$E$2:$E$2,"نقد")</f>
        <v/>
      </c>
      <c r="G17" s="10">
        <f>MAX(0,E17-F17-K17)</f>
        <v/>
      </c>
      <c r="H17" s="10">
        <f>IF(COUNTIFS('العقود'!$A$2:$A$2,B17,'العقود'!$J$2:$J$2,"مصروف")=0,"لم يصرف",IF(G17=0,"مسدد",IF(D17&lt;TODAY(),"متأخر",IF(D17=TODAY(),"مستحق اليوم",IF(F17&gt;0,"سداد جزئي","قادم")))))</f>
        <v/>
      </c>
      <c r="I17" s="10">
        <f>IF(H17="لم يصرف",0,IF(G17&gt;0,MAX(0,TODAY()-D17),IF(J17="",0,MAX(0,J17-D17))))</f>
        <v/>
      </c>
      <c r="J17" s="4" t="n"/>
      <c r="K17" s="10">
        <f>SUMIFS('توزيع التحصيل'!$D$2:$D$2,'توزيع التحصيل'!$C$2:$C$2,A17,'توزيع التحصيل'!$E$2:$E$2,"خصم")</f>
        <v/>
      </c>
    </row>
  </sheetData>
  <autoFilter ref="A1:K17"/>
  <printOptions horizontalCentered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344B55"/>
    <outlinePr summaryBelow="1" summaryRight="0"/>
    <pageSetUpPr fitToPage="1"/>
  </sheetPr>
  <dimension ref="A1:N5"/>
  <sheetViews>
    <sheetView showGridLines="0" rightToLeft="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48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 ht="30" customHeight="1">
      <c r="A1" s="7" t="inlineStr">
        <is>
          <t>رقم العملية</t>
        </is>
      </c>
      <c r="B1" s="7" t="inlineStr">
        <is>
          <t>التاريخ</t>
        </is>
      </c>
      <c r="C1" s="7" t="inlineStr">
        <is>
          <t>المبلغ</t>
        </is>
      </c>
      <c r="D1" s="7" t="inlineStr">
        <is>
          <t>نوع العملية</t>
        </is>
      </c>
      <c r="E1" s="7" t="inlineStr">
        <is>
          <t>رقم العقد</t>
        </is>
      </c>
      <c r="F1" s="7" t="inlineStr">
        <is>
          <t>المحصل</t>
        </is>
      </c>
      <c r="G1" s="7" t="inlineStr">
        <is>
          <t>المرجع</t>
        </is>
      </c>
      <c r="H1" s="7" t="inlineStr">
        <is>
          <t>ملاحظات</t>
        </is>
      </c>
      <c r="I1" s="7" t="inlineStr">
        <is>
          <t>أثر الحركة</t>
        </is>
      </c>
      <c r="J1" s="7" t="inlineStr">
        <is>
          <t>خصم التسوية</t>
        </is>
      </c>
      <c r="K1" s="7" t="inlineStr">
        <is>
          <t>حالة العملية</t>
        </is>
      </c>
      <c r="L1" s="7" t="inlineStr">
        <is>
          <t>وقت التسجيل</t>
        </is>
      </c>
      <c r="M1" s="7" t="inlineStr">
        <is>
          <t>رقم الطلب</t>
        </is>
      </c>
      <c r="N1" s="7" t="inlineStr">
        <is>
          <t>إلغاء بواسطة</t>
        </is>
      </c>
    </row>
    <row r="2">
      <c r="A2" s="4" t="inlineStr">
        <is>
          <t>TX-AE745BB1A47C</t>
        </is>
      </c>
      <c r="B2" s="15" t="n">
        <v>46204</v>
      </c>
      <c r="C2" s="16" t="n">
        <v>100000</v>
      </c>
      <c r="D2" s="4" t="inlineStr">
        <is>
          <t>رأس مال</t>
        </is>
      </c>
      <c r="E2" s="4" t="inlineStr"/>
      <c r="F2" s="4" t="inlineStr"/>
      <c r="G2" s="4" t="inlineStr"/>
      <c r="H2" s="4" t="inlineStr">
        <is>
          <t>رصيد البداية الظاهر في صفحة نوشن المرجعية</t>
        </is>
      </c>
      <c r="I2" s="10">
        <f>IF(K2="نشطة",C2*1,0)</f>
        <v/>
      </c>
      <c r="J2" s="16" t="n">
        <v>0</v>
      </c>
      <c r="K2" s="4" t="inlineStr">
        <is>
          <t>نشطة</t>
        </is>
      </c>
      <c r="L2" s="4" t="inlineStr">
        <is>
          <t>2026-10-18T05:29:39.988702+03:00</t>
        </is>
      </c>
      <c r="M2" s="4" t="inlineStr">
        <is>
          <t>NOTION-OPENING-20260701</t>
        </is>
      </c>
      <c r="N2" s="4" t="n"/>
    </row>
    <row r="3">
      <c r="A3" s="4" t="inlineStr">
        <is>
          <t>TX-EAE05AFA4518</t>
        </is>
      </c>
      <c r="B3" s="15" t="n">
        <v>46313</v>
      </c>
      <c r="C3" s="16" t="n">
        <v>500000</v>
      </c>
      <c r="D3" s="4" t="inlineStr">
        <is>
          <t>إضافة رأس مال</t>
        </is>
      </c>
      <c r="E3" s="4" t="inlineStr"/>
      <c r="F3" s="4" t="inlineStr"/>
      <c r="G3" s="4" t="inlineStr"/>
      <c r="H3" s="4" t="inlineStr"/>
      <c r="I3" s="10">
        <f>IF(K3="نشطة",C3*1,0)</f>
        <v/>
      </c>
      <c r="J3" s="16" t="n">
        <v>0</v>
      </c>
      <c r="K3" s="4" t="inlineStr">
        <is>
          <t>نشطة</t>
        </is>
      </c>
      <c r="L3" s="4" t="inlineStr">
        <is>
          <t>2026-10-18T17:49:50.058849+03:00</t>
        </is>
      </c>
      <c r="M3" s="4" t="inlineStr">
        <is>
          <t>REQ-8A4EF416553C</t>
        </is>
      </c>
      <c r="N3" s="4" t="n"/>
    </row>
    <row r="4">
      <c r="A4" s="4" t="inlineStr">
        <is>
          <t>TX-7269D60B86A1</t>
        </is>
      </c>
      <c r="B4" s="15" t="n">
        <v>46313</v>
      </c>
      <c r="C4" s="16" t="n">
        <v>100000</v>
      </c>
      <c r="D4" s="4" t="inlineStr">
        <is>
          <t>سحب رأس مال</t>
        </is>
      </c>
      <c r="E4" s="4" t="inlineStr"/>
      <c r="F4" s="4" t="inlineStr"/>
      <c r="G4" s="4" t="inlineStr"/>
      <c r="H4" s="4" t="inlineStr"/>
      <c r="I4" s="10">
        <f>IF(K4="نشطة",C4*-1,0)</f>
        <v/>
      </c>
      <c r="J4" s="16" t="n">
        <v>0</v>
      </c>
      <c r="K4" s="4" t="inlineStr">
        <is>
          <t>نشطة</t>
        </is>
      </c>
      <c r="L4" s="4" t="inlineStr">
        <is>
          <t>2026-10-18T17:50:08.302253+03:00</t>
        </is>
      </c>
      <c r="M4" s="4" t="inlineStr">
        <is>
          <t>REQ-7AAD50F67F00</t>
        </is>
      </c>
      <c r="N4" s="4" t="n"/>
    </row>
    <row r="5">
      <c r="A5" s="4" t="inlineStr">
        <is>
          <t>TX-DCBA3ABEDED7</t>
        </is>
      </c>
      <c r="B5" s="15" t="n">
        <v>46313</v>
      </c>
      <c r="C5" s="16" t="n">
        <v>5000</v>
      </c>
      <c r="D5" s="4" t="inlineStr">
        <is>
          <t>صرف تمويل</t>
        </is>
      </c>
      <c r="E5" s="4" t="inlineStr">
        <is>
          <t>001</t>
        </is>
      </c>
      <c r="F5" s="4" t="inlineStr">
        <is>
          <t>إبراهيم</t>
        </is>
      </c>
      <c r="G5" s="4" t="inlineStr"/>
      <c r="H5" s="4" t="inlineStr"/>
      <c r="I5" s="10">
        <f>IF(K5="نشطة",C5*-1,0)</f>
        <v/>
      </c>
      <c r="J5" s="16" t="n">
        <v>0</v>
      </c>
      <c r="K5" s="4" t="inlineStr">
        <is>
          <t>نشطة</t>
        </is>
      </c>
      <c r="L5" s="4" t="inlineStr">
        <is>
          <t>2026-10-18T17:53:33.921575+03:00</t>
        </is>
      </c>
      <c r="M5" s="4" t="inlineStr">
        <is>
          <t>REQ-1B987BA37243</t>
        </is>
      </c>
      <c r="N5" s="4" t="n"/>
    </row>
  </sheetData>
  <autoFilter ref="A1:N5"/>
  <printOptions horizontalCentered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344B55"/>
    <outlinePr summaryBelow="1" summaryRight="0"/>
    <pageSetUpPr fitToPage="1"/>
  </sheetPr>
  <dimension ref="A1:F1"/>
  <sheetViews>
    <sheetView showGridLines="0" rightToLeft="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30" customHeight="1">
      <c r="A1" s="7" t="inlineStr">
        <is>
          <t>رقم التوزيع</t>
        </is>
      </c>
      <c r="B1" s="7" t="inlineStr">
        <is>
          <t>رقم العملية</t>
        </is>
      </c>
      <c r="C1" s="7" t="inlineStr">
        <is>
          <t>رقم القسط</t>
        </is>
      </c>
      <c r="D1" s="7" t="inlineStr">
        <is>
          <t>المبلغ</t>
        </is>
      </c>
      <c r="E1" s="7" t="inlineStr">
        <is>
          <t>نوع التوزيع</t>
        </is>
      </c>
      <c r="F1" s="7" t="inlineStr">
        <is>
          <t>تاريخ العملية</t>
        </is>
      </c>
    </row>
  </sheetData>
  <printOptions horizontalCentered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44B55"/>
    <outlinePr summaryBelow="1" summaryRight="0"/>
    <pageSetUpPr fitToPage="1"/>
  </sheetPr>
  <dimension ref="A1:L1"/>
  <sheetViews>
    <sheetView showGridLines="0" rightToLeft="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48" customWidth="1" min="11" max="11"/>
    <col width="24" customWidth="1" min="12" max="12"/>
  </cols>
  <sheetData>
    <row r="1" ht="30" customHeight="1">
      <c r="A1" s="7" t="inlineStr">
        <is>
          <t>رقم المتابعة</t>
        </is>
      </c>
      <c r="B1" s="7" t="inlineStr">
        <is>
          <t>رقم العميل</t>
        </is>
      </c>
      <c r="C1" s="7" t="inlineStr">
        <is>
          <t>رقم العقد</t>
        </is>
      </c>
      <c r="D1" s="7" t="inlineStr">
        <is>
          <t>تاريخ التواصل</t>
        </is>
      </c>
      <c r="E1" s="7" t="inlineStr">
        <is>
          <t>وسيلة التواصل</t>
        </is>
      </c>
      <c r="F1" s="7" t="inlineStr">
        <is>
          <t>نتيجة التواصل</t>
        </is>
      </c>
      <c r="G1" s="7" t="inlineStr">
        <is>
          <t>وعد السداد</t>
        </is>
      </c>
      <c r="H1" s="7" t="inlineStr">
        <is>
          <t>المبلغ الموعود</t>
        </is>
      </c>
      <c r="I1" s="7" t="inlineStr">
        <is>
          <t>المتابعة القادمة</t>
        </is>
      </c>
      <c r="J1" s="7" t="inlineStr">
        <is>
          <t>الحالة</t>
        </is>
      </c>
      <c r="K1" s="7" t="inlineStr">
        <is>
          <t>ملاحظات</t>
        </is>
      </c>
      <c r="L1" s="7" t="inlineStr">
        <is>
          <t>آخر تعديل</t>
        </is>
      </c>
    </row>
  </sheetData>
  <printOptions horizontalCentered="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44B55"/>
    <outlinePr summaryBelow="1" summaryRight="0"/>
    <pageSetUpPr fitToPage="1"/>
  </sheetPr>
  <dimension ref="A1:C9"/>
  <sheetViews>
    <sheetView showGridLines="0" rightToLeft="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90" customWidth="1" min="2" max="2"/>
    <col width="68" customWidth="1" min="3" max="3"/>
  </cols>
  <sheetData>
    <row r="1" ht="30" customHeight="1">
      <c r="A1" s="7" t="inlineStr">
        <is>
          <t>المفتاح</t>
        </is>
      </c>
      <c r="B1" s="7" t="inlineStr">
        <is>
          <t>القيمة</t>
        </is>
      </c>
      <c r="C1" s="7" t="inlineStr">
        <is>
          <t>الوصف</t>
        </is>
      </c>
    </row>
    <row r="2" ht="45" customHeight="1">
      <c r="A2" s="4" t="inlineStr">
        <is>
          <t>schema_version</t>
        </is>
      </c>
      <c r="B2" s="11" t="n">
        <v>1</v>
      </c>
      <c r="C2" s="12" t="inlineStr">
        <is>
          <t>بنية الملف؛ لا تعدل هذا السطر</t>
        </is>
      </c>
    </row>
    <row r="3" ht="45" customHeight="1">
      <c r="A3" s="4" t="inlineStr">
        <is>
          <t>default_months</t>
        </is>
      </c>
      <c r="B3" s="11" t="n">
        <v>16</v>
      </c>
      <c r="C3" s="12" t="inlineStr">
        <is>
          <t>مدة افتراضية قابلة للتعديل لكل عقد</t>
        </is>
      </c>
    </row>
    <row r="4" ht="45" customHeight="1">
      <c r="A4" s="4" t="inlineStr">
        <is>
          <t>default_profit_rate</t>
        </is>
      </c>
      <c r="B4" s="13" t="n">
        <v>0.6</v>
      </c>
      <c r="C4" s="12" t="inlineStr">
        <is>
          <t>نسبة ربح إجمالية افتراضية قابلة للتعديل؛ ليست نسبة شهرية</t>
        </is>
      </c>
    </row>
    <row r="5" ht="45" customHeight="1">
      <c r="A5" s="4" t="inlineStr">
        <is>
          <t>currency</t>
        </is>
      </c>
      <c r="B5" s="12" t="inlineStr">
        <is>
          <t>SAR</t>
        </is>
      </c>
      <c r="C5" s="12" t="inlineStr">
        <is>
          <t>الريال السعودي</t>
        </is>
      </c>
    </row>
    <row r="6" ht="45" customHeight="1">
      <c r="A6" s="4" t="inlineStr">
        <is>
          <t>source</t>
        </is>
      </c>
      <c r="B6" s="12" t="inlineStr">
        <is>
          <t>https://fabulous-lipstick-e9d.notion.site/39d57dc9757a8008a982c7af38a4c0de</t>
        </is>
      </c>
      <c r="C6" s="12" t="inlineStr">
        <is>
          <t>الصفحة المرجعية للتقسيم والحقول</t>
        </is>
      </c>
    </row>
    <row r="7" ht="45" customHeight="1">
      <c r="A7" s="4" t="inlineStr">
        <is>
          <t>principal_method</t>
        </is>
      </c>
      <c r="B7" s="12" t="inlineStr">
        <is>
          <t>proportional</t>
        </is>
      </c>
      <c r="C7" s="12" t="inlineStr">
        <is>
          <t>المتبقي من التمويل تقدير نسبي وليس قاعدة تسوية مبكرة</t>
        </is>
      </c>
    </row>
    <row r="8" ht="45" customHeight="1">
      <c r="A8" s="4" t="inlineStr">
        <is>
          <t>calculation_note</t>
        </is>
      </c>
      <c r="B8" s="12" t="inlineStr">
        <is>
          <t>إجمالي السداد يحدده المستخدم. توزيع السداد للأقدم، وأي فرق هللات في القسط الأخير.</t>
        </is>
      </c>
      <c r="C8" s="12" t="inlineStr">
        <is>
          <t>صيغ نوشن الداخلية غير متاحة من رابط العرض العام</t>
        </is>
      </c>
    </row>
    <row r="9" ht="45" customHeight="1">
      <c r="A9" s="4" t="inlineStr">
        <is>
          <t>grading_note</t>
        </is>
      </c>
      <c r="B9" s="12" t="inlineStr">
        <is>
          <t>تصنيف داخلي يدوي؛ لم ينقل التطبيق معادلة تصنيف غير ظاهرة من نوشن.</t>
        </is>
      </c>
      <c r="C9" s="12" t="inlineStr">
        <is>
          <t>التأخر يظهر من سجلات الاستحقاق والسداد</t>
        </is>
      </c>
    </row>
  </sheetData>
  <autoFilter ref="A1:C9"/>
  <printOptions horizontalCentered="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344B55"/>
    <outlinePr summaryBelow="1" summaryRight="0"/>
    <pageSetUpPr fitToPage="1"/>
  </sheetPr>
  <dimension ref="A1:E6"/>
  <sheetViews>
    <sheetView showGridLines="0" rightToLeft="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48" customWidth="1" min="5" max="5"/>
  </cols>
  <sheetData>
    <row r="1" ht="30" customHeight="1">
      <c r="A1" s="7" t="inlineStr">
        <is>
          <t>رقم السجل</t>
        </is>
      </c>
      <c r="B1" s="7" t="inlineStr">
        <is>
          <t>الوقت</t>
        </is>
      </c>
      <c r="C1" s="7" t="inlineStr">
        <is>
          <t>نوع الإجراء</t>
        </is>
      </c>
      <c r="D1" s="7" t="inlineStr">
        <is>
          <t>رقم السجل المتأثر</t>
        </is>
      </c>
      <c r="E1" s="7" t="inlineStr">
        <is>
          <t>تفاصيل</t>
        </is>
      </c>
    </row>
    <row r="2">
      <c r="A2" s="4" t="inlineStr">
        <is>
          <t>REQ-8A4EF416553C</t>
        </is>
      </c>
      <c r="B2" s="4" t="inlineStr">
        <is>
          <t>2026-10-18T17:49:50.060001+03:00</t>
        </is>
      </c>
      <c r="C2" s="4" t="inlineStr">
        <is>
          <t>transaction</t>
        </is>
      </c>
      <c r="D2" s="4" t="inlineStr">
        <is>
          <t>TX-EAE05AFA4518</t>
        </is>
      </c>
      <c r="E2" s="4" t="inlineStr">
        <is>
          <t>تم التحقق وإعادة احتساب الأرصدة</t>
        </is>
      </c>
    </row>
    <row r="3">
      <c r="A3" s="4" t="inlineStr">
        <is>
          <t>REQ-7AAD50F67F00</t>
        </is>
      </c>
      <c r="B3" s="4" t="inlineStr">
        <is>
          <t>2026-10-18T17:50:08.303264+03:00</t>
        </is>
      </c>
      <c r="C3" s="4" t="inlineStr">
        <is>
          <t>transaction</t>
        </is>
      </c>
      <c r="D3" s="4" t="inlineStr">
        <is>
          <t>TX-7269D60B86A1</t>
        </is>
      </c>
      <c r="E3" s="4" t="inlineStr">
        <is>
          <t>تم التحقق وإعادة احتساب الأرصدة</t>
        </is>
      </c>
    </row>
    <row r="4">
      <c r="A4" s="4" t="inlineStr">
        <is>
          <t>REQ-27C7ACC1A3E3</t>
        </is>
      </c>
      <c r="B4" s="4" t="inlineStr">
        <is>
          <t>2026-10-18T17:51:11.363542+03:00</t>
        </is>
      </c>
      <c r="C4" s="4" t="inlineStr">
        <is>
          <t>add_client</t>
        </is>
      </c>
      <c r="D4" s="4" t="inlineStr">
        <is>
          <t>CL-F946F40BA6CD</t>
        </is>
      </c>
      <c r="E4" s="4" t="inlineStr">
        <is>
          <t>تم التحقق وإعادة احتساب الأرصدة</t>
        </is>
      </c>
    </row>
    <row r="5">
      <c r="A5" s="4" t="inlineStr">
        <is>
          <t>REQ-6162415D15C1</t>
        </is>
      </c>
      <c r="B5" s="4" t="inlineStr">
        <is>
          <t>2026-10-18T17:53:11.212153+03:00</t>
        </is>
      </c>
      <c r="C5" s="4" t="inlineStr">
        <is>
          <t>add_contract</t>
        </is>
      </c>
      <c r="D5" s="4" t="inlineStr">
        <is>
          <t>001</t>
        </is>
      </c>
      <c r="E5" s="4" t="inlineStr">
        <is>
          <t>تم التحقق وإعادة احتساب الأرصدة</t>
        </is>
      </c>
    </row>
    <row r="6">
      <c r="A6" s="4" t="inlineStr">
        <is>
          <t>REQ-1B987BA37243</t>
        </is>
      </c>
      <c r="B6" s="4" t="inlineStr">
        <is>
          <t>2026-10-18T17:53:33.924110+03:00</t>
        </is>
      </c>
      <c r="C6" s="4" t="inlineStr">
        <is>
          <t>transaction</t>
        </is>
      </c>
      <c r="D6" s="4" t="inlineStr">
        <is>
          <t>TX-DCBA3ABEDED7</t>
        </is>
      </c>
      <c r="E6" s="4" t="inlineStr">
        <is>
          <t>تم التحقق وإعادة احتساب الأرصدة</t>
        </is>
      </c>
    </row>
  </sheetData>
  <autoFilter ref="A1:E6"/>
  <printOptions horizontalCentered="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2026-10-18T02:29:39Z</dcterms:created>
  <dcterms:modified xmlns:dcterms="http://purl.org/dc/terms/" xmlns:xsi="http://www.w3.org/2001/XMLSchema-instance" xsi:type="dcterms:W3CDTF">2026-10-18T14:53:33Z</dcterms:modified>
</cp:coreProperties>
</file>