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95ea50cd2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لخص" sheetId="1" r:id="Ra83ec1e6258d4923"/>
    <x:sheet xmlns:r="http://schemas.openxmlformats.org/officeDocument/2006/relationships" name="حاسبة الصفقات" sheetId="2" r:id="R37ad98d6a42b44c9"/>
    <x:sheet xmlns:r="http://schemas.openxmlformats.org/officeDocument/2006/relationships" name="العملاء" sheetId="3" r:id="R5a953ba804f24a05"/>
    <x:sheet xmlns:r="http://schemas.openxmlformats.org/officeDocument/2006/relationships" name="المستثمرون" sheetId="4" r:id="R155d523c5afb4d31"/>
    <x:sheet xmlns:r="http://schemas.openxmlformats.org/officeDocument/2006/relationships" name="المكاتب" sheetId="5" r:id="R378246d69dcb47e0"/>
    <x:sheet xmlns:r="http://schemas.openxmlformats.org/officeDocument/2006/relationships" name="العقود" sheetId="6" r:id="Re55dc2264bfa4095"/>
    <x:sheet xmlns:r="http://schemas.openxmlformats.org/officeDocument/2006/relationships" name="الأقساط" sheetId="7" r:id="R9ddb2ee015b74965"/>
    <x:sheet xmlns:r="http://schemas.openxmlformats.org/officeDocument/2006/relationships" name="الحركات" sheetId="8" r:id="Rf8ba4152c1a747a9"/>
    <x:sheet xmlns:r="http://schemas.openxmlformats.org/officeDocument/2006/relationships" name="المتابعات" sheetId="9" r:id="R7fc2fecc295045e3"/>
    <x:sheet xmlns:r="http://schemas.openxmlformats.org/officeDocument/2006/relationships" name="النظام" sheetId="10" r:id="R944bc5819a184d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&quot;—&quot;"/>
    <x:numFmt numFmtId="201" formatCode="0"/>
    <x:numFmt numFmtId="202" formatCode="0.0%"/>
  </x:numFmts>
  <x:fonts count="9">
    <x:font>
      <x:sz val="11"/>
      <x:name val="Carlito"/>
    </x:font>
    <x:font>
      <x:sz val="11"/>
      <x:color rgb="FF17323D"/>
      <x:name val="Arial"/>
    </x:font>
    <x:font>
      <x:b/>
      <x:sz val="11"/>
      <x:color rgb="FFFFFFFF"/>
      <x:name val="Arial"/>
    </x:font>
    <x:font>
      <x:b/>
      <x:sz val="15"/>
      <x:color rgb="FF17323D"/>
      <x:name val="Arial"/>
    </x:font>
    <x:font>
      <x:sz val="11"/>
      <x:color rgb="FF2155B4"/>
      <x:name val="Arial"/>
    </x:font>
    <x:font>
      <x:sz val="11"/>
      <x:color rgb="FF111111"/>
      <x:name val="Arial"/>
    </x:font>
    <x:font>
      <x:b/>
      <x:sz val="11"/>
      <x:color rgb="FF17323D"/>
      <x:name val="Arial"/>
    </x:font>
    <x:font>
      <x:b/>
      <x:sz val="11"/>
      <x:color rgb="FF111111"/>
      <x:name val="Arial"/>
    </x:font>
    <x:font>
      <x:sz val="10"/>
      <x:color rgb="FF5A6A7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B3744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E5F2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27d85137cd4108" /><Relationship Type="http://schemas.openxmlformats.org/officeDocument/2006/relationships/theme" Target="/xl/theme/theme1.xml" Id="R6b0006f941d64c4d" /><Relationship Type="http://schemas.openxmlformats.org/officeDocument/2006/relationships/sharedStrings" Target="/xl/sharedStrings.xml" Id="Rba618dacd7fe4ecb" /><Relationship Type="http://schemas.openxmlformats.org/officeDocument/2006/relationships/worksheet" Target="/xl/worksheets/sheet1.xml" Id="Ra83ec1e6258d4923" /><Relationship Type="http://schemas.openxmlformats.org/officeDocument/2006/relationships/worksheet" Target="/xl/worksheets/sheet2.xml" Id="R37ad98d6a42b44c9" /><Relationship Type="http://schemas.openxmlformats.org/officeDocument/2006/relationships/worksheet" Target="/xl/worksheets/sheet3.xml" Id="R5a953ba804f24a05" /><Relationship Type="http://schemas.openxmlformats.org/officeDocument/2006/relationships/worksheet" Target="/xl/worksheets/sheet4.xml" Id="R155d523c5afb4d31" /><Relationship Type="http://schemas.openxmlformats.org/officeDocument/2006/relationships/worksheet" Target="/xl/worksheets/sheet5.xml" Id="R378246d69dcb47e0" /><Relationship Type="http://schemas.openxmlformats.org/officeDocument/2006/relationships/worksheet" Target="/xl/worksheets/sheet6.xml" Id="Re55dc2264bfa4095" /><Relationship Type="http://schemas.openxmlformats.org/officeDocument/2006/relationships/worksheet" Target="/xl/worksheets/sheet7.xml" Id="R9ddb2ee015b74965" /><Relationship Type="http://schemas.openxmlformats.org/officeDocument/2006/relationships/worksheet" Target="/xl/worksheets/sheet8.xml" Id="Rf8ba4152c1a747a9" /><Relationship Type="http://schemas.openxmlformats.org/officeDocument/2006/relationships/worksheet" Target="/xl/worksheets/sheet9.xml" Id="R7fc2fecc295045e3" /><Relationship Type="http://schemas.openxmlformats.org/officeDocument/2006/relationships/worksheet" Target="/xl/worksheets/sheet10.xml" Id="R944bc5819a184d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B3744"/>
  </x:sheetPr>
  <x:sheetViews>
    <x:sheetView rightToLeft="1" showGridLines="0" workbookViewId="0"/>
  </x:sheetViews>
  <x:sheetFormatPr defaultRowHeight="15"/>
  <x:cols>
    <x:col min="1" max="1" width="44" hidden="0" customWidth="1"/>
    <x:col min="2" max="2" width="42" hidden="0" customWidth="1"/>
  </x:cols>
  <x:sheetData>
    <x:row r="1" ht="42" customHeight="1">
      <x:c r="A1" s="5" t="str">
        <x:v>إدارة التقسيط 2.0</x:v>
      </x:c>
      <x:c r="B1" s="5" t="str">
        <x:v>القيمة بالريال / العدد</x:v>
      </x:c>
    </x:row>
    <x:row r="2" ht="29" customHeight="1">
      <x:c r="A2" s="2" t="str">
        <x:v>رصيد البنك</x:v>
      </x:c>
      <x:c r="B2" s="6" t="n">
        <x:v>0</x:v>
      </x:c>
    </x:row>
    <x:row r="3" ht="29" customHeight="1">
      <x:c r="A3" s="2" t="str">
        <x:v>أموال المستثمرين المحتجزة</x:v>
      </x:c>
      <x:c r="B3" s="6" t="n">
        <x:v>0</x:v>
      </x:c>
    </x:row>
    <x:row r="4" ht="29" customHeight="1">
      <x:c r="A4" s="2" t="str">
        <x:v>السيولة الحرة للمكتب</x:v>
      </x:c>
      <x:c r="B4" s="6" t="n">
        <x:f>B2-B3</x:f>
        <x:v>0</x:v>
      </x:c>
    </x:row>
    <x:row r="5" ht="29" customHeight="1">
      <x:c r="A5" s="2" t="str">
        <x:v>متبقي عقودك</x:v>
      </x:c>
      <x:c r="B5" s="6" t="n">
        <x:v>0</x:v>
      </x:c>
    </x:row>
    <x:row r="6" ht="29" customHeight="1">
      <x:c r="A6" s="2" t="str">
        <x:v>متبقي عقود المستثمرين</x:v>
      </x:c>
      <x:c r="B6" s="6" t="n">
        <x:v>0</x:v>
      </x:c>
    </x:row>
    <x:row r="7" ht="29" customHeight="1">
      <x:c r="A7" s="2" t="str">
        <x:v>الربح المتوقع للمكتب</x:v>
      </x:c>
      <x:c r="B7" s="6" t="n">
        <x:v>0</x:v>
      </x:c>
    </x:row>
    <x:row r="8" ht="29" customHeight="1">
      <x:c r="A8" s="2" t="str">
        <x:v>تحصيل الأقساط</x:v>
      </x:c>
      <x:c r="B8" s="6" t="n">
        <x:v>0</x:v>
      </x:c>
    </x:row>
    <x:row r="9" ht="29" customHeight="1">
      <x:c r="A9" s="2" t="str">
        <x:v>الخصومات</x:v>
      </x:c>
      <x:c r="B9" s="6" t="n">
        <x:v>0</x:v>
      </x:c>
    </x:row>
    <x:row r="10" ht="29" customHeight="1">
      <x:c r="A10" s="2" t="str">
        <x:v>فائض مستحق لدى المكاتب</x:v>
      </x:c>
      <x:c r="B10" s="6" t="n">
        <x:v>0</x:v>
      </x:c>
    </x:row>
    <x:row r="11" ht="29" customHeight="1">
      <x:c r="A11" s="2" t="str">
        <x:v>عدد العملاء</x:v>
      </x:c>
      <x:c r="B11" s="2" t="n">
        <x:v>0</x:v>
      </x:c>
    </x:row>
    <x:row r="12" ht="29" customHeight="1">
      <x:c r="A12" s="2" t="str">
        <x:v>العقود المنفذة</x:v>
      </x:c>
      <x:c r="B12" s="2" t="n">
        <x:v>0</x:v>
      </x:c>
    </x:row>
    <x:row r="13" ht="29" customHeight="1">
      <x:c r="A13" s="2" t="str">
        <x:v>البدء</x:v>
      </x:c>
      <x:c r="B13" s="2" t="str">
        <x:v>أضف رأس المال الحقيقي من التطبيق</x:v>
      </x:c>
    </x:row>
    <x:row r="14" ht="29" customHeight="1">
      <x:c r="A14" s="2" t="str">
        <x:v>الملف</x:v>
      </x:c>
      <x:c r="B14" s="2" t="str">
        <x:v>نسخة V2 مستقلة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58D87"/>
  </x:sheetPr>
  <x:sheetViews>
    <x:sheetView rightToLeft="1" showGridLines="0" workbookViewId="0">
      <x:pane ySplit="4" topLeftCell="A5" activePane="bottomLeft" state="frozen"/>
    </x:sheetView>
  </x:sheetViews>
  <x:sheetFormatPr defaultRowHeight="15"/>
  <x:cols>
    <x:col min="1" max="1" width="43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2" customHeight="1">
      <x:c r="A1" s="8" t="str">
        <x:v>حاسبة الصفقات — أمثلة قابلة للتعديل</x:v>
      </x:c>
      <x:c r="B1" s="8"/>
      <x:c r="C1" s="8"/>
      <x:c r="D1" s="8"/>
      <x:c r="E1" s="8"/>
    </x:row>
    <x:row r="2" ht="29" customHeight="1">
      <x:c r="A2" s="2"/>
      <x:c r="B2" s="2"/>
      <x:c r="C2" s="2"/>
      <x:c r="D2" s="2"/>
      <x:c r="E2" s="2"/>
    </x:row>
    <x:row r="3" ht="29" customHeight="1">
      <x:c r="A3" s="4" t="str">
        <x:v>البيان</x:v>
      </x:c>
      <x:c r="B3" s="4" t="str">
        <x:v>شراء مباشر</x:v>
      </x:c>
      <x:c r="C3" s="4" t="str">
        <x:v>عبر مكتب</x:v>
      </x:c>
      <x:c r="D3" s="4" t="str">
        <x:v>تمويل مستثمر</x:v>
      </x:c>
      <x:c r="E3" s="4" t="str">
        <x:v>صفقة كبيرة</x:v>
      </x:c>
    </x:row>
    <x:row r="4" ht="29" customHeight="1">
      <x:c r="A4" s="2" t="str">
        <x:v>نوع الصفقة</x:v>
      </x:c>
      <x:c r="B4" s="2" t="str">
        <x:v>تمويل ذاتي</x:v>
      </x:c>
      <x:c r="C4" s="2" t="str">
        <x:v>استثمار عبر مكتب</x:v>
      </x:c>
      <x:c r="D4" s="2" t="str">
        <x:v>إدارة تمويل مستثمر</x:v>
      </x:c>
      <x:c r="E4" s="2" t="str">
        <x:v>تمويل ذاتي</x:v>
      </x:c>
    </x:row>
    <x:row r="5" ht="29" customHeight="1">
      <x:c r="A5" s="2" t="str">
        <x:v>تكلفة الشراء الفعلية</x:v>
      </x:c>
      <x:c r="B5" s="11" t="n">
        <x:v>4970</x:v>
      </x:c>
      <x:c r="C5" s="11" t="n">
        <x:v>4970</x:v>
      </x:c>
      <x:c r="D5" s="11" t="n">
        <x:v>4970</x:v>
      </x:c>
      <x:c r="E5" s="11" t="n">
        <x:v>475000</x:v>
      </x:c>
    </x:row>
    <x:row r="6" ht="29" customHeight="1">
      <x:c r="A6" s="2" t="str">
        <x:v>سعر الكاش</x:v>
      </x:c>
      <x:c r="B6" s="11" t="n">
        <x:v>5000</x:v>
      </x:c>
      <x:c r="C6" s="11" t="n">
        <x:v>5000</x:v>
      </x:c>
      <x:c r="D6" s="11" t="n">
        <x:v>5000</x:v>
      </x:c>
      <x:c r="E6" s="11" t="n">
        <x:v>500000</x:v>
      </x:c>
    </x:row>
    <x:row r="7" ht="29" customHeight="1">
      <x:c r="A7" s="2" t="str">
        <x:v>إجمالي الأقساط</x:v>
      </x:c>
      <x:c r="B7" s="11" t="n">
        <x:v>8000</x:v>
      </x:c>
      <x:c r="C7" s="11" t="n">
        <x:v>8000</x:v>
      </x:c>
      <x:c r="D7" s="11" t="n">
        <x:v>8000</x:v>
      </x:c>
      <x:c r="E7" s="11" t="n">
        <x:v>800000</x:v>
      </x:c>
    </x:row>
    <x:row r="8" ht="29" customHeight="1">
      <x:c r="A8" s="2" t="str">
        <x:v>التمويل المحول دون الرسوم</x:v>
      </x:c>
      <x:c r="B8" s="11" t="n">
        <x:v>4970</x:v>
      </x:c>
      <x:c r="C8" s="11" t="n">
        <x:v>5000</x:v>
      </x:c>
      <x:c r="D8" s="11" t="n">
        <x:v>5000</x:v>
      </x:c>
      <x:c r="E8" s="11" t="n">
        <x:v>475000</x:v>
      </x:c>
    </x:row>
    <x:row r="9" ht="29" customHeight="1">
      <x:c r="A9" s="2" t="str">
        <x:v>رسوم مدفوعة لمكتب</x:v>
      </x:c>
      <x:c r="B9" s="11" t="n">
        <x:v>0</x:v>
      </x:c>
      <x:c r="C9" s="11" t="n">
        <x:v>200</x:v>
      </x:c>
      <x:c r="D9" s="11" t="n">
        <x:v>0</x:v>
      </x:c>
      <x:c r="E9" s="11" t="n">
        <x:v>0</x:v>
      </x:c>
    </x:row>
    <x:row r="10" ht="29" customHeight="1">
      <x:c r="A10" s="2" t="str">
        <x:v>رسوم ثابتة على المستثمر</x:v>
      </x:c>
      <x:c r="B10" s="11" t="n">
        <x:v>0</x:v>
      </x:c>
      <x:c r="C10" s="11" t="n">
        <x:v>0</x:v>
      </x:c>
      <x:c r="D10" s="11" t="n">
        <x:v>200</x:v>
      </x:c>
      <x:c r="E10" s="11" t="n">
        <x:v>0</x:v>
      </x:c>
    </x:row>
    <x:row r="11" ht="29" customHeight="1">
      <x:c r="A11" s="2" t="str">
        <x:v>رسوم إضافية على العميل</x:v>
      </x:c>
      <x:c r="B11" s="11" t="n">
        <x:v>0</x:v>
      </x:c>
      <x:c r="C11" s="11" t="n">
        <x:v>0</x:v>
      </x:c>
      <x:c r="D11" s="11" t="n">
        <x:v>0</x:v>
      </x:c>
      <x:c r="E11" s="11" t="n">
        <x:v>0</x:v>
      </x:c>
    </x:row>
    <x:row r="12" ht="29" customHeight="1">
      <x:c r="A12" s="2" t="str">
        <x:v>مصاريف يتحملها المكتب</x:v>
      </x:c>
      <x:c r="B12" s="11" t="n">
        <x:v>0</x:v>
      </x:c>
      <x:c r="C12" s="11" t="n">
        <x:v>0</x:v>
      </x:c>
      <x:c r="D12" s="11" t="n">
        <x:v>0</x:v>
      </x:c>
      <x:c r="E12" s="11" t="n">
        <x:v>0</x:v>
      </x:c>
    </x:row>
    <x:row r="13" ht="29" customHeight="1">
      <x:c r="A13" s="2" t="str">
        <x:v>عدد الأقساط الشهرية</x:v>
      </x:c>
      <x:c r="B13" s="12" t="n">
        <x:v>16</x:v>
      </x:c>
      <x:c r="C13" s="12" t="n">
        <x:v>16</x:v>
      </x:c>
      <x:c r="D13" s="12" t="n">
        <x:v>16</x:v>
      </x:c>
      <x:c r="E13" s="12" t="n">
        <x:v>16</x:v>
      </x:c>
    </x:row>
    <x:row r="14" ht="29" customHeight="1">
      <x:c r="A14" s="2"/>
      <x:c r="B14" s="6"/>
      <x:c r="C14" s="6"/>
      <x:c r="D14" s="6"/>
      <x:c r="E14" s="6"/>
    </x:row>
    <x:row r="15" ht="30" customHeight="1">
      <x:c r="A15" s="2" t="str">
        <x:v>فرق الشراء</x:v>
      </x:c>
      <x:c r="B15" s="14" t="n">
        <x:f>B6-B5</x:f>
        <x:v>30</x:v>
      </x:c>
      <x:c r="C15" s="14" t="n">
        <x:f>C6-C5</x:f>
        <x:v>30</x:v>
      </x:c>
      <x:c r="D15" s="14" t="n">
        <x:f>D6-D5</x:f>
        <x:v>30</x:v>
      </x:c>
      <x:c r="E15" s="14" t="n">
        <x:f>E6-E5</x:f>
        <x:v>25000</x:v>
      </x:c>
    </x:row>
    <x:row r="16" ht="30" customHeight="1">
      <x:c r="A16" s="2" t="str">
        <x:v>تكلفة المستثمر</x:v>
      </x:c>
      <x:c r="B16" s="14" t="n">
        <x:f>IF(B4="إدارة تمويل مستثمر",B5+B10,B5+B9+B12)</x:f>
        <x:v>4970</x:v>
      </x:c>
      <x:c r="C16" s="14" t="n">
        <x:f>IF(C4="إدارة تمويل مستثمر",C5+C10,C5+C9+C12)</x:f>
        <x:v>5170</x:v>
      </x:c>
      <x:c r="D16" s="14" t="n">
        <x:f>IF(D4="إدارة تمويل مستثمر",D5+D10,D5+D9+D12)</x:f>
        <x:v>5170</x:v>
      </x:c>
      <x:c r="E16" s="14" t="n">
        <x:f>IF(E4="إدارة تمويل مستثمر",E5+E10,E5+E9+E12)</x:f>
        <x:v>475000</x:v>
      </x:c>
    </x:row>
    <x:row r="17" ht="30" customHeight="1">
      <x:c r="A17" s="18" t="str">
        <x:v>ربح المستثمر المتوقع</x:v>
      </x:c>
      <x:c r="B17" s="19" t="n">
        <x:f>B7-B16</x:f>
        <x:v>3030</x:v>
      </x:c>
      <x:c r="C17" s="19" t="n">
        <x:f>C7-C16</x:f>
        <x:v>2830</x:v>
      </x:c>
      <x:c r="D17" s="19" t="n">
        <x:f>D7-D16</x:f>
        <x:v>2830</x:v>
      </x:c>
      <x:c r="E17" s="19" t="n">
        <x:f>E7-E16</x:f>
        <x:v>325000</x:v>
      </x:c>
    </x:row>
    <x:row r="18" ht="30" customHeight="1">
      <x:c r="A18" s="18" t="str">
        <x:v>ربح المكتب المتوقع</x:v>
      </x:c>
      <x:c r="B18" s="19" t="n">
        <x:f>IF(B4="إدارة تمويل مستثمر",B10+B11-B12,B17+B11)</x:f>
        <x:v>3030</x:v>
      </x:c>
      <x:c r="C18" s="19" t="n">
        <x:f>IF(C4="إدارة تمويل مستثمر",C10+C11-C12,C17+C11)</x:f>
        <x:v>2830</x:v>
      </x:c>
      <x:c r="D18" s="19" t="n">
        <x:f>IF(D4="إدارة تمويل مستثمر",D10+D11-D12,D17+D11)</x:f>
        <x:v>200</x:v>
      </x:c>
      <x:c r="E18" s="19" t="n">
        <x:f>IF(E4="إدارة تمويل مستثمر",E10+E11-E12,E17+E11)</x:f>
        <x:v>325000</x:v>
      </x:c>
    </x:row>
    <x:row r="19" ht="30" customHeight="1">
      <x:c r="A19" s="2" t="str">
        <x:v>عائد المستثمر الإجمالي</x:v>
      </x:c>
      <x:c r="B19" s="15" t="n">
        <x:f>IF(B16=0,"",B17/B16)</x:f>
        <x:v>0.6096579476861167</x:v>
      </x:c>
      <x:c r="C19" s="15" t="n">
        <x:f>IF(C16=0,"",C17/C16)</x:f>
        <x:v>0.5473887814313346</x:v>
      </x:c>
      <x:c r="D19" s="15" t="n">
        <x:f>IF(D16=0,"",D17/D16)</x:f>
        <x:v>0.5473887814313346</x:v>
      </x:c>
      <x:c r="E19" s="15" t="n">
        <x:f>IF(E16=0,"",E17/E16)</x:f>
        <x:v>0.6842105263157895</x:v>
      </x:c>
    </x:row>
    <x:row r="20" ht="30" customHeight="1">
      <x:c r="A20" s="2" t="str">
        <x:v>القسط المعتاد</x:v>
      </x:c>
      <x:c r="B20" s="14" t="n">
        <x:f>IF(B13=0,"",ROUNDDOWN(B7/B13,2))</x:f>
        <x:v>500</x:v>
      </x:c>
      <x:c r="C20" s="14" t="n">
        <x:f>IF(C13=0,"",ROUNDDOWN(C7/C13,2))</x:f>
        <x:v>500</x:v>
      </x:c>
      <x:c r="D20" s="14" t="n">
        <x:f>IF(D13=0,"",ROUNDDOWN(D7/D13,2))</x:f>
        <x:v>500</x:v>
      </x:c>
      <x:c r="E20" s="14" t="n">
        <x:f>IF(E13=0,"",ROUNDDOWN(E7/E13,2))</x:f>
        <x:v>50000</x:v>
      </x:c>
    </x:row>
    <x:row r="21" ht="30" customHeight="1">
      <x:c r="A21" s="2" t="str">
        <x:v>القسط الأخير</x:v>
      </x:c>
      <x:c r="B21" s="14" t="n">
        <x:f>B7-B20*(B13-1)</x:f>
        <x:v>500</x:v>
      </x:c>
      <x:c r="C21" s="14" t="n">
        <x:f>C7-C20*(C13-1)</x:f>
        <x:v>500</x:v>
      </x:c>
      <x:c r="D21" s="14" t="n">
        <x:f>D7-D20*(D13-1)</x:f>
        <x:v>500</x:v>
      </x:c>
      <x:c r="E21" s="14" t="n">
        <x:f>E7-E20*(E13-1)</x:f>
        <x:v>50000</x:v>
      </x:c>
    </x:row>
    <x:row r="22" ht="30" customHeight="1">
      <x:c r="A22" s="2" t="str">
        <x:v>الفائض بعد الشراء</x:v>
      </x:c>
      <x:c r="B22" s="14" t="n">
        <x:f>IF(B4="تمويل ذاتي",0,B8-B5)</x:f>
        <x:v>0</x:v>
      </x:c>
      <x:c r="C22" s="14" t="n">
        <x:f>IF(C4="تمويل ذاتي",0,C8-C5)</x:f>
        <x:v>30</x:v>
      </x:c>
      <x:c r="D22" s="14" t="n">
        <x:f>IF(D4="تمويل ذاتي",0,D8-D5)</x:f>
        <x:v>30</x:v>
      </x:c>
      <x:c r="E22" s="14" t="n">
        <x:f>IF(E4="تمويل ذاتي",0,E8-E5)</x:f>
        <x:v>0</x:v>
      </x:c>
    </x:row>
    <x:row r="23" ht="30" customHeight="1">
      <x:c r="A23" s="2" t="str">
        <x:v>التمويل والرسوم المطلوبة</x:v>
      </x:c>
      <x:c r="B23" s="14" t="n">
        <x:f>IF(B4="إدارة تمويل مستثمر",B8+B10,IF(B4="استثمار عبر مكتب",B8+B9+B12,B5+B12))</x:f>
        <x:v>4970</x:v>
      </x:c>
      <x:c r="C23" s="14" t="n">
        <x:f>IF(C4="إدارة تمويل مستثمر",C8+C10,IF(C4="استثمار عبر مكتب",C8+C9+C12,C5+C12))</x:f>
        <x:v>5200</x:v>
      </x:c>
      <x:c r="D23" s="14" t="n">
        <x:f>IF(D4="إدارة تمويل مستثمر",D8+D10,IF(D4="استثمار عبر مكتب",D8+D9+D12,D5+D12))</x:f>
        <x:v>5200</x:v>
      </x:c>
      <x:c r="E23" s="14" t="n">
        <x:f>IF(E4="إدارة تمويل مستثمر",E8+E10,IF(E4="استثمار عبر مكتب",E8+E9+E12,E5+E12))</x:f>
        <x:v>475000</x:v>
      </x:c>
    </x:row>
    <x:row r="24" ht="29" customHeight="1">
      <x:c r="A24" s="2"/>
      <x:c r="B24" s="2"/>
      <x:c r="C24" s="2"/>
      <x:c r="D24" s="2"/>
      <x:c r="E24" s="2"/>
    </x:row>
    <x:row r="25" ht="29" customHeight="1">
      <x:c r="A25" s="20" t="str">
        <x:v>الأمثلة مستقلة عن أرصدة التشغيل.</x:v>
      </x:c>
      <x:c r="B25" s="20"/>
      <x:c r="C25" s="20"/>
      <x:c r="D25" s="20"/>
      <x:c r="E25" s="20"/>
    </x:row>
    <x:row r="26" ht="29" customHeight="1">
      <x:c r="A26" s="20" t="str">
        <x:v>الرسوم الثابتة تضاف إلى التمويل، وكامل أقساط العقد للمستثمر.</x:v>
      </x:c>
      <x:c r="B26" s="20"/>
      <x:c r="C26" s="20"/>
      <x:c r="D26" s="20"/>
      <x:c r="E26" s="20"/>
    </x:row>
    <x:row r="27" ht="29" customHeight="1">
      <x:c r="A27" s="20" t="str">
        <x:v>الربح المتوقع يفترض اكتمال السداد واسترداد فائض المكتب الخارجي.</x:v>
      </x:c>
      <x:c r="B27" s="20"/>
      <x:c r="C27" s="20"/>
      <x:c r="D27" s="20"/>
      <x:c r="E27" s="20"/>
    </x:row>
  </x:sheetData>
  <x:dataValidations count="2">
    <x:dataValidation type="list" sqref="B4:E4">
      <x:formula1>"تمويل ذاتي,استثمار عبر مكتب,إدارة تمويل مستثمر"</x:formula1>
    </x:dataValidation>
    <x:dataValidation type="whole" operator="between" sqref="B13:E13">
      <x:formula1>1</x:formula1>
      <x:formula2>120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rightToLeft="1"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 ht="42" customHeight="1">
      <x:c r="A1" s="5" t="str">
        <x:v>المعرف</x:v>
      </x:c>
      <x:c r="B1" s="5" t="str">
        <x:v>الاسم</x:v>
      </x:c>
      <x:c r="C1" s="5" t="str">
        <x:v>الجوال</x:v>
      </x:c>
      <x:c r="D1" s="5" t="str">
        <x:v>الهوية</x:v>
      </x:c>
      <x:c r="E1" s="5" t="str">
        <x:v>المستوى</x:v>
      </x:c>
      <x:c r="F1" s="5" t="str">
        <x:v>الحالة</x:v>
      </x:c>
      <x:c r="G1" s="5" t="str">
        <x:v>الحد الائتماني</x:v>
      </x:c>
      <x:c r="H1" s="5" t="str">
        <x:v>العنوان</x:v>
      </x:c>
      <x:c r="I1" s="5" t="str">
        <x:v>جهة العمل</x:v>
      </x:c>
      <x:c r="J1" s="5" t="str">
        <x:v>الدخل</x:v>
      </x:c>
      <x:c r="K1" s="5" t="str">
        <x:v>الكفيل</x:v>
      </x:c>
      <x:c r="L1" s="5" t="str">
        <x:v>جوال الكفيل</x:v>
      </x:c>
      <x:c r="M1" s="5" t="str">
        <x:v>ملاحظات</x:v>
      </x:c>
    </x:row>
    <x:row r="2" ht="29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rightToLeft="1"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42" customHeight="1">
      <x:c r="A1" s="5" t="str">
        <x:v>المعرف</x:v>
      </x:c>
      <x:c r="B1" s="5" t="str">
        <x:v>الاسم</x:v>
      </x:c>
      <x:c r="C1" s="5" t="str">
        <x:v>الجوال</x:v>
      </x:c>
      <x:c r="D1" s="5" t="str">
        <x:v>الهوية</x:v>
      </x:c>
      <x:c r="E1" s="5" t="str">
        <x:v>الحالة</x:v>
      </x:c>
      <x:c r="F1" s="5" t="str">
        <x:v>ملاحظات</x:v>
      </x:c>
    </x:row>
    <x:row r="2" ht="29" customHeight="1">
      <x:c r="A2" s="2"/>
      <x:c r="B2" s="2"/>
      <x:c r="C2" s="2"/>
      <x:c r="D2" s="2"/>
      <x:c r="E2" s="2"/>
      <x:c r="F2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rightToLeft="1"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42" customHeight="1">
      <x:c r="A1" s="5" t="str">
        <x:v>المعرف</x:v>
      </x:c>
      <x:c r="B1" s="5" t="str">
        <x:v>الاسم</x:v>
      </x:c>
      <x:c r="C1" s="5" t="str">
        <x:v>الجوال</x:v>
      </x:c>
      <x:c r="D1" s="5" t="str">
        <x:v>الحالة</x:v>
      </x:c>
      <x:c r="E1" s="5" t="str">
        <x:v>ملاحظات</x:v>
      </x:c>
    </x:row>
    <x:row r="2" ht="29" customHeight="1">
      <x:c r="A2" s="2"/>
      <x:c r="B2" s="2"/>
      <x:c r="C2" s="2"/>
      <x:c r="D2" s="2"/>
      <x:c r="E2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rightToLeft="1"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</x:cols>
  <x:sheetData>
    <x:row r="1" ht="42" customHeight="1">
      <x:c r="A1" s="5" t="str">
        <x:v>المعرف</x:v>
      </x:c>
      <x:c r="B1" s="5" t="str">
        <x:v>العميل</x:v>
      </x:c>
      <x:c r="C1" s="5" t="str">
        <x:v>النوع</x:v>
      </x:c>
      <x:c r="D1" s="5" t="str">
        <x:v>المستثمر</x:v>
      </x:c>
      <x:c r="E1" s="5" t="str">
        <x:v>المكتب</x:v>
      </x:c>
      <x:c r="F1" s="5" t="str">
        <x:v>تاريخ العقد</x:v>
      </x:c>
      <x:c r="G1" s="5" t="str">
        <x:v>أول استحقاق</x:v>
      </x:c>
      <x:c r="H1" s="5" t="str">
        <x:v>الأشهر</x:v>
      </x:c>
      <x:c r="I1" s="5" t="str">
        <x:v>تكلفة الشراء</x:v>
      </x:c>
      <x:c r="J1" s="5" t="str">
        <x:v>سعر الكاش</x:v>
      </x:c>
      <x:c r="K1" s="5" t="str">
        <x:v>إجمالي التقسيط</x:v>
      </x:c>
      <x:c r="L1" s="5" t="str">
        <x:v>التمويل المحول</x:v>
      </x:c>
      <x:c r="M1" s="5" t="str">
        <x:v>رسوم مكتب مدفوعة</x:v>
      </x:c>
      <x:c r="N1" s="5" t="str">
        <x:v>رسوم مكتب ثابتة</x:v>
      </x:c>
      <x:c r="O1" s="5" t="str">
        <x:v>رسوم العميل</x:v>
      </x:c>
      <x:c r="P1" s="5" t="str">
        <x:v>مصاريف أخرى</x:v>
      </x:c>
      <x:c r="Q1" s="5" t="str">
        <x:v>ملاحظات</x:v>
      </x:c>
      <x:c r="R1" s="5" t="str">
        <x:v>فرق الشراء</x:v>
      </x:c>
      <x:c r="S1" s="5" t="str">
        <x:v>تكلفة المستثمر</x:v>
      </x:c>
      <x:c r="T1" s="5" t="str">
        <x:v>ربح المستثمر المتوقع</x:v>
      </x:c>
      <x:c r="U1" s="5" t="str">
        <x:v>ربح المكتب المتوقع</x:v>
      </x:c>
      <x:c r="V1" s="5" t="str">
        <x:v>عائد المستثمر</x:v>
      </x:c>
      <x:c r="W1" s="5" t="str">
        <x:v>المحصل</x:v>
      </x:c>
      <x:c r="X1" s="5" t="str">
        <x:v>الخصم</x:v>
      </x:c>
      <x:c r="Y1" s="5" t="str">
        <x:v>المتبقي</x:v>
      </x:c>
      <x:c r="Z1" s="5" t="str">
        <x:v>الحالة</x:v>
      </x:c>
      <x:c r="AA1" s="5" t="str">
        <x:v>فائض لدى المكتب</x:v>
      </x:c>
      <x:c r="AB1" s="5" t="str">
        <x:v>تاريخ التنفيذ</x:v>
      </x:c>
    </x:row>
    <x:row r="2" ht="29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rightToLeft="1"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42" customHeight="1">
      <x:c r="A1" s="5" t="str">
        <x:v>المعرف</x:v>
      </x:c>
      <x:c r="B1" s="5" t="str">
        <x:v>العقد</x:v>
      </x:c>
      <x:c r="C1" s="5" t="str">
        <x:v>التسلسل</x:v>
      </x:c>
      <x:c r="D1" s="5" t="str">
        <x:v>الاستحقاق</x:v>
      </x:c>
      <x:c r="E1" s="5" t="str">
        <x:v>المبلغ</x:v>
      </x:c>
      <x:c r="F1" s="5" t="str">
        <x:v>المحصل</x:v>
      </x:c>
      <x:c r="G1" s="5" t="str">
        <x:v>الخصم</x:v>
      </x:c>
      <x:c r="H1" s="5" t="str">
        <x:v>المتبقي</x:v>
      </x:c>
      <x:c r="I1" s="5" t="str">
        <x:v>الحالة</x:v>
      </x:c>
      <x:c r="J1" s="5" t="str">
        <x:v>أيام التأخير</x:v>
      </x:c>
      <x:c r="K1" s="5" t="str">
        <x:v>تاريخ السداد</x:v>
      </x:c>
    </x:row>
    <x:row r="2" ht="29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rightToLeft="1"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 ht="42" customHeight="1">
      <x:c r="A1" s="5" t="str">
        <x:v>المعرف</x:v>
      </x:c>
      <x:c r="B1" s="5" t="str">
        <x:v>المجموعة</x:v>
      </x:c>
      <x:c r="C1" s="5" t="str">
        <x:v>التاريخ</x:v>
      </x:c>
      <x:c r="D1" s="5" t="str">
        <x:v>الوقت</x:v>
      </x:c>
      <x:c r="E1" s="5" t="str">
        <x:v>النوع</x:v>
      </x:c>
      <x:c r="F1" s="5" t="str">
        <x:v>العقد</x:v>
      </x:c>
      <x:c r="G1" s="5" t="str">
        <x:v>المستثمر</x:v>
      </x:c>
      <x:c r="H1" s="5" t="str">
        <x:v>المبلغ</x:v>
      </x:c>
      <x:c r="I1" s="5" t="str">
        <x:v>أثر البنك</x:v>
      </x:c>
      <x:c r="J1" s="5" t="str">
        <x:v>أثر أموال المستثمر</x:v>
      </x:c>
      <x:c r="K1" s="5" t="str">
        <x:v>خصم التسوية</x:v>
      </x:c>
      <x:c r="L1" s="5" t="str">
        <x:v>المرجع</x:v>
      </x:c>
      <x:c r="M1" s="5" t="str">
        <x:v>ملاحظات</x:v>
      </x:c>
      <x:c r="N1" s="5" t="str">
        <x:v>الحالة</x:v>
      </x:c>
      <x:c r="O1" s="5" t="str">
        <x:v>رقم الطلب</x:v>
      </x:c>
      <x:c r="P1" s="5" t="str">
        <x:v>الرصيد البنكي</x:v>
      </x:c>
      <x:c r="Q1" s="5" t="str">
        <x:v>أموال المستثمرين</x:v>
      </x:c>
      <x:c r="R1" s="5" t="str">
        <x:v>السيولة الحرة</x:v>
      </x:c>
    </x:row>
    <x:row r="2" ht="29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rightToLeft="1"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42" customHeight="1">
      <x:c r="A1" s="5" t="str">
        <x:v>المعرف</x:v>
      </x:c>
      <x:c r="B1" s="5" t="str">
        <x:v>العميل</x:v>
      </x:c>
      <x:c r="C1" s="5" t="str">
        <x:v>العقد</x:v>
      </x:c>
      <x:c r="D1" s="5" t="str">
        <x:v>تاريخ التواصل</x:v>
      </x:c>
      <x:c r="E1" s="5" t="str">
        <x:v>الوسيلة</x:v>
      </x:c>
      <x:c r="F1" s="5" t="str">
        <x:v>النتيجة</x:v>
      </x:c>
      <x:c r="G1" s="5" t="str">
        <x:v>وعد السداد</x:v>
      </x:c>
      <x:c r="H1" s="5" t="str">
        <x:v>المبلغ الموعود</x:v>
      </x:c>
      <x:c r="I1" s="5" t="str">
        <x:v>المتابعة القادمة</x:v>
      </x:c>
      <x:c r="J1" s="5" t="str">
        <x:v>الحالة</x:v>
      </x:c>
      <x:c r="K1" s="5" t="str">
        <x:v>ملاحظات</x:v>
      </x:c>
    </x:row>
    <x:row r="2" ht="29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rightToLeft="1"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42" customHeight="1">
      <x:c r="A1" s="5" t="str">
        <x:v>المفتاح</x:v>
      </x:c>
      <x:c r="B1" s="5" t="str">
        <x:v>القيمة</x:v>
      </x:c>
    </x:row>
    <x:row r="2" ht="29" customHeight="1">
      <x:c r="A2" s="2" t="str">
        <x:v>format</x:v>
      </x:c>
      <x:c r="B2" s="2" t="str">
        <x:v>IBRAHIM_INSTALLMENTS_V2</x:v>
      </x:c>
    </x:row>
    <x:row r="3">
      <x:c r="A3" t="str">
        <x:v>version</x:v>
      </x:c>
      <x:c r="B3" t="str">
        <x:v>2.0.0</x:v>
      </x:c>
    </x:row>
    <x:row r="4">
      <x:c r="A4" t="str">
        <x:v>default_months</x:v>
      </x:c>
      <x:c r="B4" t="n">
        <x:v>16</x:v>
      </x:c>
    </x:row>
    <x:row r="5">
      <x:c r="A5" t="str">
        <x:v>default_profit_rate</x:v>
      </x:c>
      <x:c r="B5" t="n">
        <x:v>0.6</x:v>
      </x:c>
    </x:row>
  </x:sheetData>
  <x:pageMargins left="0.7" right="0.7" top="0.75" bottom="0.75" header="0.3" footer="0.3"/>
</x:worksheet>
</file>